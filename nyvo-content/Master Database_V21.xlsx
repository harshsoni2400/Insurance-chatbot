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soni/clawd/nyvo-chatbot/nyvo-content/"/>
    </mc:Choice>
  </mc:AlternateContent>
  <xr:revisionPtr revIDLastSave="0" documentId="13_ncr:1_{0AC84EC0-5B7C-8A4B-BBDE-D198877E4CE3}" xr6:coauthVersionLast="47" xr6:coauthVersionMax="47" xr10:uidLastSave="{00000000-0000-0000-0000-000000000000}"/>
  <bookViews>
    <workbookView xWindow="0" yWindow="620" windowWidth="35080" windowHeight="19220" activeTab="4" xr2:uid="{86114EA3-711C-3E4F-A14D-19F76CF16DE0}"/>
  </bookViews>
  <sheets>
    <sheet name="Company Database" sheetId="8" r:id="rId1"/>
    <sheet name="Claim data numbers" sheetId="11" state="hidden" r:id="rId2"/>
    <sheet name="Claim data lacs" sheetId="12" state="hidden" r:id="rId3"/>
    <sheet name="Complaints data" sheetId="10" state="hidden" r:id="rId4"/>
    <sheet name="Base Policy Databa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2" l="1"/>
  <c r="K34" i="2" l="1"/>
  <c r="J34" i="2"/>
  <c r="I34" i="2"/>
  <c r="H34" i="2"/>
  <c r="G34" i="2"/>
  <c r="F34" i="2"/>
  <c r="K33" i="2"/>
  <c r="J33" i="2"/>
  <c r="I33" i="2"/>
  <c r="H33" i="2"/>
  <c r="G33" i="2"/>
  <c r="F33" i="2"/>
  <c r="K32" i="2"/>
  <c r="J32" i="2"/>
  <c r="I32" i="2"/>
  <c r="H32" i="2"/>
  <c r="G32" i="2"/>
  <c r="F32" i="2"/>
  <c r="K31" i="2"/>
  <c r="J31" i="2"/>
  <c r="I31" i="2"/>
  <c r="H31" i="2"/>
  <c r="G31" i="2"/>
  <c r="F31" i="2"/>
  <c r="K30" i="2"/>
  <c r="J30" i="2"/>
  <c r="I30" i="2"/>
  <c r="H30" i="2"/>
  <c r="G30" i="2"/>
  <c r="F30" i="2"/>
  <c r="K29" i="2"/>
  <c r="J29" i="2"/>
  <c r="I29" i="2"/>
  <c r="H29" i="2"/>
  <c r="G29" i="2"/>
  <c r="F29" i="2"/>
  <c r="E34" i="2"/>
  <c r="E33" i="2"/>
  <c r="E32" i="2"/>
  <c r="E31" i="2"/>
  <c r="E30" i="2"/>
  <c r="E29" i="2"/>
  <c r="K27" i="2" l="1"/>
  <c r="J27" i="2"/>
  <c r="I27" i="2"/>
  <c r="H27" i="2"/>
  <c r="G27" i="2"/>
  <c r="F27" i="2"/>
  <c r="E27" i="2"/>
  <c r="I35" i="2" l="1"/>
  <c r="K35" i="2"/>
  <c r="J35" i="2"/>
  <c r="H35" i="2"/>
  <c r="G35" i="2"/>
  <c r="F35" i="2"/>
  <c r="E35" i="2"/>
  <c r="E40" i="11"/>
  <c r="F12" i="8"/>
  <c r="F32" i="8"/>
  <c r="F31" i="8"/>
  <c r="F30" i="8"/>
  <c r="F29" i="8"/>
  <c r="F26" i="8"/>
  <c r="F25" i="8"/>
  <c r="F24" i="8"/>
  <c r="F23" i="8"/>
  <c r="F22" i="8"/>
  <c r="F21" i="8"/>
  <c r="F20" i="8"/>
  <c r="F19" i="8"/>
  <c r="F17" i="8"/>
  <c r="F16" i="8"/>
  <c r="F15" i="8"/>
  <c r="F14" i="8"/>
  <c r="F13" i="8"/>
  <c r="F11" i="8"/>
  <c r="F10" i="8"/>
  <c r="F9" i="8"/>
  <c r="F6" i="8"/>
  <c r="F5" i="8"/>
  <c r="F4" i="8"/>
  <c r="F3" i="8"/>
  <c r="F2" i="8"/>
  <c r="G12" i="8"/>
  <c r="P26" i="12"/>
  <c r="O26" i="12"/>
  <c r="S26" i="12"/>
  <c r="R26" i="12"/>
  <c r="Q26" i="12"/>
  <c r="J26" i="12"/>
  <c r="I26" i="12"/>
  <c r="M26" i="12"/>
  <c r="L26" i="12"/>
  <c r="K26" i="12"/>
  <c r="D26" i="12"/>
  <c r="S26" i="11"/>
  <c r="P26" i="11"/>
  <c r="O26" i="11"/>
  <c r="R26" i="11"/>
  <c r="Q26" i="11"/>
  <c r="J26" i="11"/>
  <c r="I26" i="11"/>
  <c r="M26" i="11"/>
  <c r="L26" i="11"/>
  <c r="K26" i="11"/>
  <c r="D26" i="11"/>
  <c r="H26" i="11" s="1"/>
  <c r="N13" i="12"/>
  <c r="H13" i="12"/>
  <c r="R11" i="12"/>
  <c r="T11" i="12" s="1"/>
  <c r="T33" i="12"/>
  <c r="N33" i="12"/>
  <c r="H33" i="12"/>
  <c r="T32" i="12"/>
  <c r="N32" i="12"/>
  <c r="H32" i="12"/>
  <c r="T31" i="12"/>
  <c r="N31" i="12"/>
  <c r="H31" i="12"/>
  <c r="T30" i="12"/>
  <c r="N30" i="12"/>
  <c r="H30" i="12"/>
  <c r="T29" i="12"/>
  <c r="N29" i="12"/>
  <c r="H29" i="12"/>
  <c r="T28" i="12"/>
  <c r="N28" i="12"/>
  <c r="H28" i="12"/>
  <c r="T27" i="12"/>
  <c r="N27" i="12"/>
  <c r="H27" i="12"/>
  <c r="H26" i="12"/>
  <c r="T25" i="12"/>
  <c r="N25" i="12"/>
  <c r="H25" i="12"/>
  <c r="T24" i="12"/>
  <c r="N24" i="12"/>
  <c r="H24" i="12"/>
  <c r="T23" i="12"/>
  <c r="N23" i="12"/>
  <c r="H23" i="12"/>
  <c r="T22" i="12"/>
  <c r="N22" i="12"/>
  <c r="H22" i="12"/>
  <c r="T21" i="12"/>
  <c r="N21" i="12"/>
  <c r="H21" i="12"/>
  <c r="T20" i="12"/>
  <c r="N20" i="12"/>
  <c r="H20" i="12"/>
  <c r="T18" i="12"/>
  <c r="N18" i="12"/>
  <c r="H18" i="12"/>
  <c r="T17" i="12"/>
  <c r="N17" i="12"/>
  <c r="H17" i="12"/>
  <c r="T16" i="12"/>
  <c r="N16" i="12"/>
  <c r="H16" i="12"/>
  <c r="T15" i="12"/>
  <c r="N15" i="12"/>
  <c r="T14" i="12"/>
  <c r="N14" i="12"/>
  <c r="H14" i="12"/>
  <c r="T12" i="12"/>
  <c r="N12" i="12"/>
  <c r="H12" i="12"/>
  <c r="N11" i="12"/>
  <c r="H11" i="12"/>
  <c r="T10" i="12"/>
  <c r="N10" i="12"/>
  <c r="H10" i="12"/>
  <c r="T7" i="12"/>
  <c r="N7" i="12"/>
  <c r="H7" i="12"/>
  <c r="T6" i="12"/>
  <c r="N6" i="12"/>
  <c r="H6" i="12"/>
  <c r="T5" i="12"/>
  <c r="N5" i="12"/>
  <c r="H5" i="12"/>
  <c r="T4" i="12"/>
  <c r="N4" i="12"/>
  <c r="H4" i="12"/>
  <c r="T3" i="12"/>
  <c r="N3" i="12"/>
  <c r="H3" i="12"/>
  <c r="T33" i="11"/>
  <c r="N33" i="11"/>
  <c r="H33" i="11"/>
  <c r="T32" i="11"/>
  <c r="N32" i="11"/>
  <c r="H32" i="11"/>
  <c r="T31" i="11"/>
  <c r="N31" i="11"/>
  <c r="H31" i="11"/>
  <c r="T30" i="11"/>
  <c r="N30" i="11"/>
  <c r="H30" i="11"/>
  <c r="T29" i="11"/>
  <c r="N29" i="11"/>
  <c r="H29" i="11"/>
  <c r="T28" i="11"/>
  <c r="N28" i="11"/>
  <c r="H28" i="11"/>
  <c r="T27" i="11"/>
  <c r="N27" i="11"/>
  <c r="H27" i="11"/>
  <c r="T25" i="11"/>
  <c r="N25" i="11"/>
  <c r="H25" i="11"/>
  <c r="T24" i="11"/>
  <c r="N24" i="11"/>
  <c r="H24" i="11"/>
  <c r="T23" i="11"/>
  <c r="N23" i="11"/>
  <c r="H23" i="11"/>
  <c r="T22" i="11"/>
  <c r="N22" i="11"/>
  <c r="H22" i="11"/>
  <c r="T21" i="11"/>
  <c r="N21" i="11"/>
  <c r="H21" i="11"/>
  <c r="T20" i="11"/>
  <c r="N20" i="11"/>
  <c r="H20" i="11"/>
  <c r="T18" i="11"/>
  <c r="N18" i="11"/>
  <c r="H18" i="11"/>
  <c r="T17" i="11"/>
  <c r="N17" i="11"/>
  <c r="H17" i="11"/>
  <c r="T16" i="11"/>
  <c r="N16" i="11"/>
  <c r="H16" i="11"/>
  <c r="T15" i="11"/>
  <c r="N15" i="11"/>
  <c r="H15" i="11"/>
  <c r="T14" i="11"/>
  <c r="N14" i="11"/>
  <c r="H14" i="11"/>
  <c r="N13" i="11"/>
  <c r="H13" i="11"/>
  <c r="T12" i="11"/>
  <c r="N12" i="11"/>
  <c r="H12" i="11"/>
  <c r="T11" i="11"/>
  <c r="N11" i="11"/>
  <c r="H11" i="11"/>
  <c r="T10" i="11"/>
  <c r="N10" i="11"/>
  <c r="H10" i="11"/>
  <c r="T7" i="11"/>
  <c r="N7" i="11"/>
  <c r="H7" i="11"/>
  <c r="T6" i="11"/>
  <c r="N6" i="11"/>
  <c r="H6" i="11"/>
  <c r="T5" i="11"/>
  <c r="N5" i="11"/>
  <c r="H5" i="11"/>
  <c r="T4" i="11"/>
  <c r="N4" i="11"/>
  <c r="H4" i="11"/>
  <c r="T3" i="11"/>
  <c r="N3" i="11"/>
  <c r="H3" i="11"/>
  <c r="F27" i="8" l="1"/>
  <c r="T26" i="12"/>
  <c r="N26" i="12"/>
  <c r="T26" i="11"/>
  <c r="N26" i="11"/>
  <c r="G32" i="8"/>
  <c r="G31" i="8"/>
  <c r="G30" i="8"/>
  <c r="G28" i="8"/>
  <c r="G27" i="8"/>
  <c r="G26" i="8"/>
  <c r="G25" i="8"/>
  <c r="G24" i="8"/>
  <c r="G23" i="8"/>
  <c r="G22" i="8"/>
  <c r="G21" i="8"/>
  <c r="G20" i="8"/>
  <c r="G19" i="8"/>
  <c r="G17" i="8"/>
  <c r="G16" i="8"/>
  <c r="G15" i="8"/>
  <c r="G14" i="8"/>
  <c r="G13" i="8"/>
  <c r="G11" i="8"/>
  <c r="G10" i="8"/>
  <c r="G9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<sst xmlns="http://schemas.openxmlformats.org/spreadsheetml/2006/main" count="564" uniqueCount="168">
  <si>
    <t>Manipal Cigna Health Insurance Company Limited</t>
  </si>
  <si>
    <t>Care Health Insurance Limited</t>
  </si>
  <si>
    <t>Narayana Health Insurance Limited</t>
  </si>
  <si>
    <t>Acko General Insurance Limited</t>
  </si>
  <si>
    <t>Bajaj Allianz General Insurance Company Limited</t>
  </si>
  <si>
    <t>Cholamandalam MS General Insurance Company Limited</t>
  </si>
  <si>
    <t>Future Generali India Insurance Company Limited</t>
  </si>
  <si>
    <t xml:space="preserve">Magma General Insurance Limited </t>
  </si>
  <si>
    <t>National Insurance Company Limited</t>
  </si>
  <si>
    <t>HDFC ERGO General Insurance Company Limited</t>
  </si>
  <si>
    <t>ICICI LOMBARD General Insurance Company Limited</t>
  </si>
  <si>
    <t>Go Digit General Insurance Limited</t>
  </si>
  <si>
    <t>IFFCO TOKIO General Insurance Company Limited</t>
  </si>
  <si>
    <t xml:space="preserve">Zurich Kotak General Insurance Company (India) Limited </t>
  </si>
  <si>
    <t>Liberty General Insurance Limited</t>
  </si>
  <si>
    <t>Navi General Insurance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</si>
  <si>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</si>
  <si>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</si>
  <si>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</si>
  <si>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</si>
  <si>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</si>
  <si>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</si>
  <si>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</si>
  <si>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</si>
  <si>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</si>
  <si>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 xml:space="preserve">Zuno General Insurance Limited </t>
  </si>
  <si>
    <t>Aditya Birla Health Insurance Company Limited</t>
  </si>
  <si>
    <t>Niva Bupa Health Insurance Company Limited</t>
  </si>
  <si>
    <t>Star Health &amp; Allied Insurance Company Limited</t>
  </si>
  <si>
    <t>Raheja QBE General Insurance Company Limited</t>
  </si>
  <si>
    <t>S.no</t>
  </si>
  <si>
    <t>Name of the Insurance Company</t>
  </si>
  <si>
    <t>Network Hospitals</t>
  </si>
  <si>
    <t>Operational Since</t>
  </si>
  <si>
    <t>Pre-existing Diseases (waiting)</t>
  </si>
  <si>
    <t>No Claim Bonus</t>
  </si>
  <si>
    <t>Restoration Benefit</t>
  </si>
  <si>
    <t>Pre/Post Hospitalisation Coverage</t>
  </si>
  <si>
    <t>Day-care procedures are covered</t>
  </si>
  <si>
    <t>No room rent capping</t>
  </si>
  <si>
    <t>Features</t>
  </si>
  <si>
    <t>2016-17</t>
  </si>
  <si>
    <t>2012-13</t>
  </si>
  <si>
    <t>2013-14</t>
  </si>
  <si>
    <t>2009-10</t>
  </si>
  <si>
    <t>2006-07</t>
  </si>
  <si>
    <t>2023-24</t>
  </si>
  <si>
    <t>2017-18</t>
  </si>
  <si>
    <t>2001-02</t>
  </si>
  <si>
    <t>2002-03</t>
  </si>
  <si>
    <t>2007-08</t>
  </si>
  <si>
    <t>2010-11</t>
  </si>
  <si>
    <t>2000-01</t>
  </si>
  <si>
    <t>2015-16</t>
  </si>
  <si>
    <t>1906-07</t>
  </si>
  <si>
    <t>2008-09</t>
  </si>
  <si>
    <t>1919-20</t>
  </si>
  <si>
    <t>1947-48</t>
  </si>
  <si>
    <t xml:space="preserve">Galaxy Health Insurance Company Limited </t>
  </si>
  <si>
    <t>Claim ratio avg</t>
  </si>
  <si>
    <t>Activ One Next</t>
  </si>
  <si>
    <t>Activ One VYTL</t>
  </si>
  <si>
    <t>S.No</t>
  </si>
  <si>
    <t>Overview</t>
  </si>
  <si>
    <t>Maternity benefit not covered</t>
  </si>
  <si>
    <t>Main Heading</t>
  </si>
  <si>
    <t>Activ One – MAX+</t>
  </si>
  <si>
    <t>About the policy</t>
  </si>
  <si>
    <t>Pros</t>
  </si>
  <si>
    <t>Pre Hospitalisation Coverage benefit</t>
  </si>
  <si>
    <t>Post Hospitalisation Coverage benefit</t>
  </si>
  <si>
    <t>Post-hospitalisation coverage of 180 days</t>
  </si>
  <si>
    <t>Pre-existing Diseases (waiting) benefit</t>
  </si>
  <si>
    <t>Day care</t>
  </si>
  <si>
    <t>Global emergency coverage</t>
  </si>
  <si>
    <t>Chronic care</t>
  </si>
  <si>
    <t>Sub limits</t>
  </si>
  <si>
    <t>Room rent capping</t>
  </si>
  <si>
    <t>Health check up</t>
  </si>
  <si>
    <t>Special benefit</t>
  </si>
  <si>
    <t>Cons</t>
  </si>
  <si>
    <t>Co-payment</t>
  </si>
  <si>
    <t>Maternity benefit</t>
  </si>
  <si>
    <t>Company</t>
  </si>
  <si>
    <t>NA</t>
  </si>
  <si>
    <t>No sub limit applicable</t>
  </si>
  <si>
    <t>Exclusions(Consumables)</t>
  </si>
  <si>
    <t xml:space="preserve">Non-medical consumables excluded </t>
  </si>
  <si>
    <t>Exclusions (Heart Disease)</t>
  </si>
  <si>
    <t>Exclusions (Chronic Care)</t>
  </si>
  <si>
    <t>Exclusions (Room category deduction)</t>
  </si>
  <si>
    <t>Ultimate Care</t>
  </si>
  <si>
    <t>Care Supreme</t>
  </si>
  <si>
    <t>Unlimited restoration benefit</t>
  </si>
  <si>
    <t>180 days post-hospitalisation coverage</t>
  </si>
  <si>
    <t>Pre-hospitalisation coverage of 90 days</t>
  </si>
  <si>
    <t>Unlimited restoration of Sum Insured</t>
  </si>
  <si>
    <t>Complaint ratio</t>
  </si>
  <si>
    <t>Optima Secure</t>
  </si>
  <si>
    <t>Claim ratio</t>
  </si>
  <si>
    <t>Complaint</t>
  </si>
  <si>
    <t>Network hospital</t>
  </si>
  <si>
    <t>Priority order of display</t>
  </si>
  <si>
    <t>FY25</t>
  </si>
  <si>
    <t>FY24</t>
  </si>
  <si>
    <t>FY23</t>
  </si>
  <si>
    <t>2024-2025</t>
  </si>
  <si>
    <t>2023-2024</t>
  </si>
  <si>
    <t>2022-2023</t>
  </si>
  <si>
    <t>Claims settled during the period</t>
  </si>
  <si>
    <t>Claims Closed</t>
  </si>
  <si>
    <t>Claims O/S at the beginning of the period</t>
  </si>
  <si>
    <t>Claims reported during the period</t>
  </si>
  <si>
    <t>Claims O/S at End of the period</t>
  </si>
  <si>
    <t>Claim Settlement Ratio</t>
  </si>
  <si>
    <t>100% restoration once in a policy year</t>
  </si>
  <si>
    <t>Comprehensive health insurance plan offering 2x cover from Day 1, unlimited restoration and 100% no claim bonus every year</t>
  </si>
  <si>
    <t>2x cover from Day 1</t>
  </si>
  <si>
    <t xml:space="preserve">Annual health checkup available </t>
  </si>
  <si>
    <t>Activ One – MAX</t>
  </si>
  <si>
    <t>Day 1 coverage for chronic conditions</t>
  </si>
  <si>
    <t>Comprehensive health insurance plan offering  unlimited restoration, 100% no claim bonus every year and annual health check-ups</t>
  </si>
  <si>
    <t>Comprehensive health insurance plan offering  Day 1 coverage of chronic conditions, unlimited restoration and annual health check-ups</t>
  </si>
  <si>
    <t xml:space="preserve">No health checkup available </t>
  </si>
  <si>
    <t>100% no claim bonus annually upto 500%</t>
  </si>
  <si>
    <t>50% no claim bonus annually upto 100%</t>
  </si>
  <si>
    <t>100% no claim bonus annually without cap</t>
  </si>
  <si>
    <t>Newborns added within 90 days inherit the primary insured’s waiting period</t>
  </si>
  <si>
    <t>Comprehensive health insurance plan offering  unlimited restoration, 100% no claim bonus annually and money back in case of 5 year no claims</t>
  </si>
  <si>
    <t>Comprehensive health insurance plan offering wide, customizable coverage with no room-rent limits and unlimited sum insured restoration</t>
  </si>
  <si>
    <t>2x cover from Day 1 (no claim bonus extra)</t>
  </si>
  <si>
    <t xml:space="preserve">Comprehensive health insurance plan offering extensive medical coverage with 2x cover from Day 1, suitable for individuals and families </t>
  </si>
  <si>
    <t>Display name</t>
  </si>
  <si>
    <t xml:space="preserve">Aditya Birla Health Insurance </t>
  </si>
  <si>
    <t xml:space="preserve">Care Health Insurance </t>
  </si>
  <si>
    <t xml:space="preserve">Manipal Cigna Health Insurance </t>
  </si>
  <si>
    <t>Niva Bupa Health Insurance</t>
  </si>
  <si>
    <t>Star Health &amp; Allied Insurance</t>
  </si>
  <si>
    <t>Galaxy Health Insurance</t>
  </si>
  <si>
    <t>Narayana Health Insurance</t>
  </si>
  <si>
    <t xml:space="preserve">Acko General Insurance </t>
  </si>
  <si>
    <t xml:space="preserve">Bajaj Allianz General Insurance </t>
  </si>
  <si>
    <t>Cholamandalam MS General Insurance</t>
  </si>
  <si>
    <t>Future Generali India Insurance</t>
  </si>
  <si>
    <t>Go Digit General Insurance</t>
  </si>
  <si>
    <t xml:space="preserve">HDFC ERGO General Insurance </t>
  </si>
  <si>
    <t>ICICI LOMBARD General Insurance</t>
  </si>
  <si>
    <t xml:space="preserve">IFFCO TOKIO General Insurance </t>
  </si>
  <si>
    <t>Zurich Kotak General Insurance</t>
  </si>
  <si>
    <t xml:space="preserve">Liberty General Insurance </t>
  </si>
  <si>
    <t xml:space="preserve">Magma General Insurance  </t>
  </si>
  <si>
    <t xml:space="preserve">Navi General Insurance </t>
  </si>
  <si>
    <t xml:space="preserve">Raheja QBE General Insurance </t>
  </si>
  <si>
    <t xml:space="preserve">National Insurance  </t>
  </si>
  <si>
    <t>Reliance General Insurance</t>
  </si>
  <si>
    <t>Royal Sundaram General Insurance</t>
  </si>
  <si>
    <t xml:space="preserve">SBI General Insurance </t>
  </si>
  <si>
    <t>Shriram General Insurance</t>
  </si>
  <si>
    <t xml:space="preserve">Tata AIG General Insurance </t>
  </si>
  <si>
    <t xml:space="preserve">The New India Assurance </t>
  </si>
  <si>
    <t xml:space="preserve">The Oriental Insurance </t>
  </si>
  <si>
    <t xml:space="preserve">United India Insurance </t>
  </si>
  <si>
    <t xml:space="preserve">Universal Sompo General Insurance </t>
  </si>
  <si>
    <t xml:space="preserve">Zuno General Insurance </t>
  </si>
  <si>
    <t>Galaxy Health Insurance Company Limited</t>
  </si>
  <si>
    <t>Pre-hospitalisation:90 days prior / Post-hospitalisation:180 days</t>
  </si>
  <si>
    <t>Pre-hospitalisation:60 days prior / Post-hospitalisation:180 days</t>
  </si>
  <si>
    <t>Pre-hospitalisation:60 days prior / Post-hospitalisation:90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</si>
</sst>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 * #,##0_ ;_ * \-#,##0_ ;_ * &quot;-&quot;??_ ;_ @_ "/>
  </numFmts>
  <fonts count="1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/>
    <xf numFmtId="0" fontId="1" fillId="0" borderId="0"/>
    <xf numFmtId="0" fontId="14" fillId="0" borderId="0"/>
    <xf numFmtId="0" fontId="13" fillId="0" borderId="0"/>
    <xf numFmtId="164" fontId="7" fillId="0" borderId="0" applyFont="0" applyFill="0" applyBorder="0" applyAlignment="0" applyProtection="0"/>
  </cellStyleXfs>
  <cellXfs count="40">
    <xf numFmtId="0" fontId="0" fillId="0" borderId="0" xfId="0"/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left" vertical="center" indent="1"/>
    </xf>
    <xf numFmtId="1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/>
    </xf>
    <xf numFmtId="3" fontId="8" fillId="0" borderId="1" xfId="0" applyNumberFormat="1" applyFont="1" applyBorder="1"/>
    <xf numFmtId="0" fontId="8" fillId="0" borderId="1" xfId="0" applyFont="1" applyBorder="1"/>
    <xf numFmtId="1" fontId="15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right"/>
    </xf>
    <xf numFmtId="164" fontId="8" fillId="0" borderId="1" xfId="8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3" fontId="0" fillId="0" borderId="1" xfId="0" applyNumberFormat="1" applyBorder="1"/>
    <xf numFmtId="10" fontId="6" fillId="0" borderId="1" xfId="1" applyNumberFormat="1" applyFont="1" applyFill="1" applyBorder="1"/>
    <xf numFmtId="10" fontId="6" fillId="0" borderId="1" xfId="0" applyNumberFormat="1" applyFont="1" applyBorder="1"/>
    <xf numFmtId="3" fontId="6" fillId="0" borderId="1" xfId="0" applyNumberFormat="1" applyFont="1" applyBorder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166" fontId="9" fillId="0" borderId="1" xfId="8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165" fontId="13" fillId="0" borderId="1" xfId="7" applyNumberForma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166" fontId="0" fillId="0" borderId="1" xfId="8" applyNumberFormat="1" applyFont="1" applyFill="1" applyBorder="1" applyAlignment="1">
      <alignment horizontal="center"/>
    </xf>
    <xf numFmtId="0" fontId="8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13" fillId="0" borderId="1" xfId="7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9">
    <cellStyle name="Comma" xfId="8" builtinId="3"/>
    <cellStyle name="Normal" xfId="0" builtinId="0"/>
    <cellStyle name="Normal 2" xfId="3" xr:uid="{5170A8CB-2B8F-A745-952F-4363D64F401A}"/>
    <cellStyle name="Normal 2 10" xfId="2" xr:uid="{709241EC-F5D9-8C4E-971D-0DF158971A09}"/>
    <cellStyle name="Normal 2 2" xfId="4" xr:uid="{038AF4A2-19C6-48E8-866E-E8BE935CC6C7}"/>
    <cellStyle name="Normal 2 3" xfId="5" xr:uid="{2E355E42-20E5-40B8-8176-E68053830050}"/>
    <cellStyle name="Normal 3" xfId="6" xr:uid="{F926DBAD-3949-4BF2-B121-0C450E67D0BE}"/>
    <cellStyle name="Normal 4" xfId="7" xr:uid="{93F4AC04-394D-4D47-B81B-C029FAC279DE}"/>
    <cellStyle name="Per cent" xfId="1" builtinId="5"/>
  </cellStyles>
  <dxfs count="0"/>
  <tableStyles count="0" defaultTableStyle="TableStyleMedium2" defaultPivotStyle="PivotStyleLight16"/>
  <colors>
    <mruColors>
      <color rgb="FFE0A8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04DF-AD86-403F-97D1-045620A3FC9C}">
  <dimension ref="A1:G32"/>
  <sheetViews>
    <sheetView workbookViewId="0">
      <selection activeCell="F28" sqref="F28"/>
    </sheetView>
  </sheetViews>
  <sheetFormatPr baseColWidth="10" defaultColWidth="11.1640625" defaultRowHeight="16" x14ac:dyDescent="0.2"/>
  <cols>
    <col min="2" max="2" width="48.83203125" bestFit="1" customWidth="1"/>
    <col min="3" max="3" width="47.33203125" customWidth="1"/>
    <col min="4" max="4" width="15.6640625" bestFit="1" customWidth="1"/>
    <col min="5" max="5" width="16" bestFit="1" customWidth="1"/>
    <col min="6" max="6" width="19.1640625" bestFit="1" customWidth="1"/>
    <col min="7" max="7" width="14" bestFit="1" customWidth="1"/>
  </cols>
  <sheetData>
    <row r="1" spans="1:7" s="6" customFormat="1" x14ac:dyDescent="0.2">
      <c r="A1" s="5" t="s">
        <v>30</v>
      </c>
      <c r="B1" s="5" t="s">
        <v>31</v>
      </c>
      <c r="C1" s="6" t="s">
        <v>132</v>
      </c>
      <c r="D1" s="5" t="s">
        <v>33</v>
      </c>
      <c r="E1" s="5" t="s">
        <v>32</v>
      </c>
      <c r="F1" s="5" t="s">
        <v>59</v>
      </c>
      <c r="G1" s="9" t="s">
        <v>97</v>
      </c>
    </row>
    <row r="2" spans="1:7" ht="17" x14ac:dyDescent="0.2">
      <c r="A2" s="1">
        <v>1</v>
      </c>
      <c r="B2" s="2" t="s">
        <v>26</v>
      </c>
      <c r="C2" s="2" t="s">
        <v>133</v>
      </c>
      <c r="D2" s="29" t="s">
        <v>41</v>
      </c>
      <c r="E2" s="30">
        <v>13000</v>
      </c>
      <c r="F2" s="31">
        <f>50%*'Claim data numbers'!H3+30%*'Claim data numbers'!N3+20%*'Claim data numbers'!T3</f>
        <v>0.95814733397697582</v>
      </c>
      <c r="G2" s="32">
        <f>50%*'Complaints data'!C2+30%*'Complaints data'!D2+20%*'Complaints data'!E2</f>
        <v>18.2</v>
      </c>
    </row>
    <row r="3" spans="1:7" ht="17" x14ac:dyDescent="0.2">
      <c r="A3" s="1">
        <v>2</v>
      </c>
      <c r="B3" s="2" t="s">
        <v>1</v>
      </c>
      <c r="C3" s="2" t="s">
        <v>134</v>
      </c>
      <c r="D3" s="33" t="s">
        <v>42</v>
      </c>
      <c r="E3" s="34">
        <v>11400</v>
      </c>
      <c r="F3" s="31">
        <f>50%*'Claim data numbers'!H4+30%*'Claim data numbers'!N4+20%*'Claim data numbers'!T4</f>
        <v>0.94158572275179919</v>
      </c>
      <c r="G3" s="32">
        <f>50%*'Complaints data'!C3+30%*'Complaints data'!D3+20%*'Complaints data'!E3</f>
        <v>43.2</v>
      </c>
    </row>
    <row r="4" spans="1:7" ht="17" x14ac:dyDescent="0.2">
      <c r="A4" s="1">
        <v>3</v>
      </c>
      <c r="B4" s="2" t="s">
        <v>0</v>
      </c>
      <c r="C4" s="2" t="s">
        <v>135</v>
      </c>
      <c r="D4" s="35" t="s">
        <v>43</v>
      </c>
      <c r="E4" s="34">
        <v>7300</v>
      </c>
      <c r="F4" s="31">
        <f>50%*'Claim data numbers'!H5+30%*'Claim data numbers'!N5+20%*'Claim data numbers'!T5</f>
        <v>0.91443410827400373</v>
      </c>
      <c r="G4" s="32">
        <f>50%*'Complaints data'!C4+30%*'Complaints data'!D4+20%*'Complaints data'!E4</f>
        <v>24.27</v>
      </c>
    </row>
    <row r="5" spans="1:7" ht="17" x14ac:dyDescent="0.2">
      <c r="A5" s="1">
        <v>4</v>
      </c>
      <c r="B5" s="2" t="s">
        <v>27</v>
      </c>
      <c r="C5" s="2" t="s">
        <v>136</v>
      </c>
      <c r="D5" s="29" t="s">
        <v>44</v>
      </c>
      <c r="E5" s="34">
        <v>10000</v>
      </c>
      <c r="F5" s="31">
        <f>50%*'Claim data numbers'!H6+30%*'Claim data numbers'!N6+20%*'Claim data numbers'!T6</f>
        <v>0.91878242173457358</v>
      </c>
      <c r="G5" s="32">
        <f>50%*'Complaints data'!C5+30%*'Complaints data'!D5+20%*'Complaints data'!E5</f>
        <v>42.62</v>
      </c>
    </row>
    <row r="6" spans="1:7" ht="17" x14ac:dyDescent="0.2">
      <c r="A6" s="3">
        <v>5</v>
      </c>
      <c r="B6" s="2" t="s">
        <v>28</v>
      </c>
      <c r="C6" s="2" t="s">
        <v>137</v>
      </c>
      <c r="D6" s="35" t="s">
        <v>45</v>
      </c>
      <c r="E6" s="34">
        <v>14000</v>
      </c>
      <c r="F6" s="31">
        <f>50%*'Claim data numbers'!H7+30%*'Claim data numbers'!N7+20%*'Claim data numbers'!T7</f>
        <v>0.86131683919012869</v>
      </c>
      <c r="G6" s="32">
        <f>50%*'Complaints data'!C6+30%*'Complaints data'!D6+20%*'Complaints data'!E6</f>
        <v>52.657000000000004</v>
      </c>
    </row>
    <row r="7" spans="1:7" ht="17" x14ac:dyDescent="0.2">
      <c r="A7" s="3">
        <v>6</v>
      </c>
      <c r="B7" s="2" t="s">
        <v>164</v>
      </c>
      <c r="C7" s="2" t="s">
        <v>138</v>
      </c>
      <c r="D7" s="29" t="s">
        <v>46</v>
      </c>
      <c r="E7" s="34">
        <v>5500</v>
      </c>
      <c r="F7" s="37">
        <v>0.79</v>
      </c>
      <c r="G7" s="32" t="s">
        <v>84</v>
      </c>
    </row>
    <row r="8" spans="1:7" ht="17" x14ac:dyDescent="0.2">
      <c r="A8" s="3">
        <v>7</v>
      </c>
      <c r="B8" s="2" t="s">
        <v>2</v>
      </c>
      <c r="C8" s="2" t="s">
        <v>139</v>
      </c>
      <c r="D8" s="35" t="s">
        <v>46</v>
      </c>
      <c r="E8" s="34">
        <v>21</v>
      </c>
      <c r="F8" s="37">
        <v>1</v>
      </c>
      <c r="G8" s="32" t="s">
        <v>84</v>
      </c>
    </row>
    <row r="9" spans="1:7" ht="17" x14ac:dyDescent="0.2">
      <c r="A9" s="4">
        <v>8</v>
      </c>
      <c r="B9" s="2" t="s">
        <v>3</v>
      </c>
      <c r="C9" s="2" t="s">
        <v>140</v>
      </c>
      <c r="D9" s="35" t="s">
        <v>47</v>
      </c>
      <c r="E9" s="34">
        <v>11500</v>
      </c>
      <c r="F9" s="31">
        <f>50%*'Claim data numbers'!H10+30%*'Claim data numbers'!N10+20%*'Claim data numbers'!T10</f>
        <v>0.96298368921704025</v>
      </c>
      <c r="G9" s="32">
        <f>50%*'Complaints data'!C9+30%*'Complaints data'!D9+20%*'Complaints data'!E9</f>
        <v>18.983000000000001</v>
      </c>
    </row>
    <row r="10" spans="1:7" ht="17" x14ac:dyDescent="0.2">
      <c r="A10" s="4">
        <v>9</v>
      </c>
      <c r="B10" s="2" t="s">
        <v>4</v>
      </c>
      <c r="C10" s="2" t="s">
        <v>141</v>
      </c>
      <c r="D10" s="29" t="s">
        <v>48</v>
      </c>
      <c r="E10" s="34">
        <v>12000</v>
      </c>
      <c r="F10" s="31">
        <f>50%*'Claim data numbers'!H11+30%*'Claim data numbers'!N11+20%*'Claim data numbers'!T11</f>
        <v>0.96980812719617449</v>
      </c>
      <c r="G10" s="32">
        <f>50%*'Complaints data'!C10+30%*'Complaints data'!D10+20%*'Complaints data'!E10</f>
        <v>3.1529999999999996</v>
      </c>
    </row>
    <row r="11" spans="1:7" ht="17" x14ac:dyDescent="0.2">
      <c r="A11" s="4">
        <v>10</v>
      </c>
      <c r="B11" s="2" t="s">
        <v>5</v>
      </c>
      <c r="C11" s="2" t="s">
        <v>142</v>
      </c>
      <c r="D11" s="29" t="s">
        <v>49</v>
      </c>
      <c r="E11" s="34">
        <v>12000</v>
      </c>
      <c r="F11" s="31">
        <f>50%*'Claim data numbers'!H12+30%*'Claim data numbers'!N12+20%*'Claim data numbers'!T12</f>
        <v>0.82895160294268977</v>
      </c>
      <c r="G11" s="32">
        <f>50%*'Complaints data'!C11+30%*'Complaints data'!D11+20%*'Complaints data'!E11</f>
        <v>14.891999999999999</v>
      </c>
    </row>
    <row r="12" spans="1:7" ht="17" x14ac:dyDescent="0.2">
      <c r="A12" s="4">
        <v>11</v>
      </c>
      <c r="B12" s="2" t="s">
        <v>6</v>
      </c>
      <c r="C12" s="2" t="s">
        <v>143</v>
      </c>
      <c r="D12" s="29" t="s">
        <v>50</v>
      </c>
      <c r="E12" s="34">
        <v>10000</v>
      </c>
      <c r="F12" s="31">
        <f>60%*'Claim data numbers'!H13+40%*'Claim data numbers'!N13</f>
        <v>0.93584625482346551</v>
      </c>
      <c r="G12" s="32">
        <f>60%*'Complaints data'!C12+40%*'Complaints data'!D12</f>
        <v>10.738</v>
      </c>
    </row>
    <row r="13" spans="1:7" ht="17" x14ac:dyDescent="0.2">
      <c r="A13" s="4">
        <v>12</v>
      </c>
      <c r="B13" s="2" t="s">
        <v>11</v>
      </c>
      <c r="C13" s="2" t="s">
        <v>144</v>
      </c>
      <c r="D13" s="35" t="s">
        <v>47</v>
      </c>
      <c r="E13" s="34">
        <v>9000</v>
      </c>
      <c r="F13" s="31">
        <f>50%*'Claim data numbers'!H14+30%*'Claim data numbers'!N14+20%*'Claim data numbers'!T14</f>
        <v>0.97353058734229758</v>
      </c>
      <c r="G13" s="32">
        <f>50%*'Complaints data'!C13+30%*'Complaints data'!D13+20%*'Complaints data'!E13</f>
        <v>17.507999999999999</v>
      </c>
    </row>
    <row r="14" spans="1:7" ht="17" x14ac:dyDescent="0.2">
      <c r="A14" s="4">
        <v>13</v>
      </c>
      <c r="B14" s="2" t="s">
        <v>9</v>
      </c>
      <c r="C14" s="2" t="s">
        <v>145</v>
      </c>
      <c r="D14" s="29" t="s">
        <v>51</v>
      </c>
      <c r="E14" s="34">
        <v>15000</v>
      </c>
      <c r="F14" s="31">
        <f>50%*'Claim data numbers'!H15+30%*'Claim data numbers'!N15+20%*'Claim data numbers'!T15</f>
        <v>0.97062710619663262</v>
      </c>
      <c r="G14" s="32">
        <f>50%*'Complaints data'!C14+30%*'Complaints data'!D14+20%*'Complaints data'!E14</f>
        <v>10.673</v>
      </c>
    </row>
    <row r="15" spans="1:7" ht="17" x14ac:dyDescent="0.2">
      <c r="A15" s="4">
        <v>14</v>
      </c>
      <c r="B15" s="2" t="s">
        <v>10</v>
      </c>
      <c r="C15" s="2" t="s">
        <v>146</v>
      </c>
      <c r="D15" s="35" t="s">
        <v>48</v>
      </c>
      <c r="E15" s="34">
        <v>10500</v>
      </c>
      <c r="F15" s="31">
        <f>50%*'Claim data numbers'!H16+30%*'Claim data numbers'!N16+20%*'Claim data numbers'!T16</f>
        <v>0.8428093817392962</v>
      </c>
      <c r="G15" s="32">
        <f>50%*'Complaints data'!C15+30%*'Complaints data'!D15+20%*'Complaints data'!E15</f>
        <v>11.649000000000001</v>
      </c>
    </row>
    <row r="16" spans="1:7" ht="17" x14ac:dyDescent="0.2">
      <c r="A16" s="4">
        <v>15</v>
      </c>
      <c r="B16" s="2" t="s">
        <v>12</v>
      </c>
      <c r="C16" s="2" t="s">
        <v>147</v>
      </c>
      <c r="D16" s="29" t="s">
        <v>52</v>
      </c>
      <c r="E16" s="34">
        <v>8500</v>
      </c>
      <c r="F16" s="31">
        <f>50%*'Claim data numbers'!H17+30%*'Claim data numbers'!N17+20%*'Claim data numbers'!T17</f>
        <v>0.89724115531200999</v>
      </c>
      <c r="G16" s="32">
        <f>50%*'Complaints data'!C16+30%*'Complaints data'!D16+20%*'Complaints data'!E16</f>
        <v>26.748999999999999</v>
      </c>
    </row>
    <row r="17" spans="1:7" ht="17" x14ac:dyDescent="0.2">
      <c r="A17" s="4">
        <v>16</v>
      </c>
      <c r="B17" s="2" t="s">
        <v>13</v>
      </c>
      <c r="C17" s="2" t="s">
        <v>148</v>
      </c>
      <c r="D17" s="35" t="s">
        <v>53</v>
      </c>
      <c r="E17" s="34">
        <v>10800</v>
      </c>
      <c r="F17" s="31">
        <f>50%*'Claim data numbers'!H18+30%*'Claim data numbers'!N18+20%*'Claim data numbers'!T18</f>
        <v>0.9337973007224174</v>
      </c>
      <c r="G17" s="32">
        <f>50%*'Complaints data'!C17+30%*'Complaints data'!D17+20%*'Complaints data'!E17</f>
        <v>21.262</v>
      </c>
    </row>
    <row r="18" spans="1:7" ht="17" x14ac:dyDescent="0.2">
      <c r="A18" s="4">
        <v>17</v>
      </c>
      <c r="B18" s="2" t="s">
        <v>14</v>
      </c>
      <c r="C18" s="2" t="s">
        <v>149</v>
      </c>
      <c r="D18" s="35" t="s">
        <v>42</v>
      </c>
      <c r="E18" s="34">
        <v>6000</v>
      </c>
      <c r="F18" s="31">
        <v>0.9</v>
      </c>
      <c r="G18" s="32">
        <v>14.08</v>
      </c>
    </row>
    <row r="19" spans="1:7" ht="17" x14ac:dyDescent="0.2">
      <c r="A19" s="4">
        <v>18</v>
      </c>
      <c r="B19" s="2" t="s">
        <v>7</v>
      </c>
      <c r="C19" s="2" t="s">
        <v>150</v>
      </c>
      <c r="D19" s="35" t="s">
        <v>42</v>
      </c>
      <c r="E19" s="34">
        <v>7700</v>
      </c>
      <c r="F19" s="31">
        <f>50%*'Claim data numbers'!H20+30%*'Claim data numbers'!N20+20%*'Claim data numbers'!T20</f>
        <v>0.89888905454077694</v>
      </c>
      <c r="G19" s="32">
        <f>50%*'Complaints data'!C19+30%*'Complaints data'!D19+20%*'Complaints data'!E19</f>
        <v>14.3</v>
      </c>
    </row>
    <row r="20" spans="1:7" ht="17" x14ac:dyDescent="0.2">
      <c r="A20" s="4">
        <v>19</v>
      </c>
      <c r="B20" s="2" t="s">
        <v>8</v>
      </c>
      <c r="C20" s="2" t="s">
        <v>153</v>
      </c>
      <c r="D20" s="29" t="s">
        <v>54</v>
      </c>
      <c r="E20" s="34">
        <v>5000</v>
      </c>
      <c r="F20" s="31">
        <f>50%*'Claim data numbers'!H21+30%*'Claim data numbers'!N21+20%*'Claim data numbers'!T21</f>
        <v>0.946160837935625</v>
      </c>
      <c r="G20" s="32">
        <f>50%*'Complaints data'!C20+30%*'Complaints data'!D20+20%*'Complaints data'!E20</f>
        <v>30.571000000000002</v>
      </c>
    </row>
    <row r="21" spans="1:7" ht="17" x14ac:dyDescent="0.2">
      <c r="A21" s="4">
        <v>20</v>
      </c>
      <c r="B21" s="2" t="s">
        <v>15</v>
      </c>
      <c r="C21" s="2" t="s">
        <v>151</v>
      </c>
      <c r="D21" s="35" t="s">
        <v>47</v>
      </c>
      <c r="E21" s="34">
        <v>12000</v>
      </c>
      <c r="F21" s="31">
        <f>50%*'Claim data numbers'!H22+30%*'Claim data numbers'!N22+20%*'Claim data numbers'!T22</f>
        <v>0.7340845316908704</v>
      </c>
      <c r="G21" s="32">
        <f>50%*'Complaints data'!C21+30%*'Complaints data'!D21+20%*'Complaints data'!E21</f>
        <v>262.41199999999998</v>
      </c>
    </row>
    <row r="22" spans="1:7" ht="17" x14ac:dyDescent="0.2">
      <c r="A22" s="4">
        <v>21</v>
      </c>
      <c r="B22" s="2" t="s">
        <v>29</v>
      </c>
      <c r="C22" s="2" t="s">
        <v>152</v>
      </c>
      <c r="D22" s="29" t="s">
        <v>55</v>
      </c>
      <c r="E22" s="34">
        <v>5000</v>
      </c>
      <c r="F22" s="31">
        <f>50%*'Claim data numbers'!H23+30%*'Claim data numbers'!N23+20%*'Claim data numbers'!T23</f>
        <v>0.91115641317316132</v>
      </c>
      <c r="G22" s="32">
        <f>50%*'Complaints data'!C22+30%*'Complaints data'!D22+20%*'Complaints data'!E22</f>
        <v>74.796000000000006</v>
      </c>
    </row>
    <row r="23" spans="1:7" ht="17" x14ac:dyDescent="0.2">
      <c r="A23" s="4">
        <v>22</v>
      </c>
      <c r="B23" s="2" t="s">
        <v>16</v>
      </c>
      <c r="C23" s="2" t="s">
        <v>154</v>
      </c>
      <c r="D23" s="29" t="s">
        <v>52</v>
      </c>
      <c r="E23" s="34">
        <v>10000</v>
      </c>
      <c r="F23" s="31">
        <f>50%*'Claim data numbers'!H24+30%*'Claim data numbers'!N24+20%*'Claim data numbers'!T24</f>
        <v>0.87864716949360722</v>
      </c>
      <c r="G23" s="32">
        <f>50%*'Complaints data'!C23+30%*'Complaints data'!D23+20%*'Complaints data'!E23</f>
        <v>4.3970000000000002</v>
      </c>
    </row>
    <row r="24" spans="1:7" ht="17" x14ac:dyDescent="0.2">
      <c r="A24" s="4">
        <v>23</v>
      </c>
      <c r="B24" s="2" t="s">
        <v>17</v>
      </c>
      <c r="C24" s="2" t="s">
        <v>155</v>
      </c>
      <c r="D24" s="29" t="s">
        <v>52</v>
      </c>
      <c r="E24" s="34">
        <v>10000</v>
      </c>
      <c r="F24" s="31">
        <f>50%*'Claim data numbers'!H25+30%*'Claim data numbers'!N25+20%*'Claim data numbers'!T25</f>
        <v>0.91988368342671278</v>
      </c>
      <c r="G24" s="32">
        <f>50%*'Complaints data'!C24+30%*'Complaints data'!D24+20%*'Complaints data'!E24</f>
        <v>16.771999999999998</v>
      </c>
    </row>
    <row r="25" spans="1:7" ht="17" x14ac:dyDescent="0.2">
      <c r="A25" s="4">
        <v>24</v>
      </c>
      <c r="B25" s="2" t="s">
        <v>18</v>
      </c>
      <c r="C25" s="2" t="s">
        <v>156</v>
      </c>
      <c r="D25" s="29" t="s">
        <v>44</v>
      </c>
      <c r="E25" s="34">
        <v>17000</v>
      </c>
      <c r="F25" s="31">
        <f>50%*'Claim data numbers'!H26+30%*'Claim data numbers'!N26+20%*'Claim data numbers'!T26</f>
        <v>0.98635991906014386</v>
      </c>
      <c r="G25" s="32">
        <f>50%*'Complaints data'!C25+30%*'Complaints data'!D25+20%*'Complaints data'!E25</f>
        <v>19.056000000000001</v>
      </c>
    </row>
    <row r="26" spans="1:7" ht="17" x14ac:dyDescent="0.2">
      <c r="A26" s="4">
        <v>25</v>
      </c>
      <c r="B26" s="2" t="s">
        <v>19</v>
      </c>
      <c r="C26" s="2" t="s">
        <v>157</v>
      </c>
      <c r="D26" s="29" t="s">
        <v>55</v>
      </c>
      <c r="E26" s="34">
        <v>13000</v>
      </c>
      <c r="F26" s="31">
        <f>50%*'Claim data numbers'!H27+30%*'Claim data numbers'!N27+20%*'Claim data numbers'!T27</f>
        <v>0.92182304598967602</v>
      </c>
      <c r="G26" s="32">
        <f>50%*'Complaints data'!C26+30%*'Complaints data'!D26+20%*'Complaints data'!E26</f>
        <v>27.791</v>
      </c>
    </row>
    <row r="27" spans="1:7" ht="17" x14ac:dyDescent="0.2">
      <c r="A27" s="4">
        <v>26</v>
      </c>
      <c r="B27" s="2" t="s">
        <v>20</v>
      </c>
      <c r="C27" s="2" t="s">
        <v>158</v>
      </c>
      <c r="D27" s="29" t="s">
        <v>52</v>
      </c>
      <c r="E27" s="34">
        <v>12000</v>
      </c>
      <c r="F27" s="31">
        <f>50%*'Claim data numbers'!H28+30%*'Claim data numbers'!N28+20%*'Claim data numbers'!T28</f>
        <v>0.89228904109720053</v>
      </c>
      <c r="G27" s="32">
        <f>50%*'Complaints data'!C27+30%*'Complaints data'!D27+20%*'Complaints data'!E27</f>
        <v>10.523999999999999</v>
      </c>
    </row>
    <row r="28" spans="1:7" ht="17" x14ac:dyDescent="0.2">
      <c r="A28" s="4">
        <v>27</v>
      </c>
      <c r="B28" s="2" t="s">
        <v>21</v>
      </c>
      <c r="C28" s="2" t="s">
        <v>159</v>
      </c>
      <c r="D28" s="29" t="s">
        <v>56</v>
      </c>
      <c r="E28" s="34">
        <v>5000</v>
      </c>
      <c r="F28" s="31">
        <v>0.95</v>
      </c>
      <c r="G28" s="32">
        <f>50%*'Complaints data'!C28+30%*'Complaints data'!D28+20%*'Complaints data'!E28</f>
        <v>5.0109999999999992</v>
      </c>
    </row>
    <row r="29" spans="1:7" ht="17" x14ac:dyDescent="0.2">
      <c r="A29" s="4">
        <v>28</v>
      </c>
      <c r="B29" s="2" t="s">
        <v>22</v>
      </c>
      <c r="C29" s="2" t="s">
        <v>160</v>
      </c>
      <c r="D29" s="29" t="s">
        <v>57</v>
      </c>
      <c r="E29" s="34">
        <v>5000</v>
      </c>
      <c r="F29" s="31">
        <f>50%*'Claim data numbers'!H30+30%*'Claim data numbers'!N30+20%*'Claim data numbers'!T30</f>
        <v>0.95294851954443294</v>
      </c>
      <c r="G29" s="32" t="s">
        <v>84</v>
      </c>
    </row>
    <row r="30" spans="1:7" ht="17" x14ac:dyDescent="0.2">
      <c r="A30" s="4">
        <v>29</v>
      </c>
      <c r="B30" s="2" t="s">
        <v>23</v>
      </c>
      <c r="C30" s="2" t="s">
        <v>161</v>
      </c>
      <c r="D30" s="29" t="s">
        <v>56</v>
      </c>
      <c r="E30" s="34">
        <v>5000</v>
      </c>
      <c r="F30" s="31">
        <f>50%*'Claim data numbers'!H31+30%*'Claim data numbers'!N31+20%*'Claim data numbers'!T31</f>
        <v>0.93528976272662956</v>
      </c>
      <c r="G30" s="32">
        <f>50%*'Complaints data'!C30+30%*'Complaints data'!D30+20%*'Complaints data'!E30</f>
        <v>15.456000000000001</v>
      </c>
    </row>
    <row r="31" spans="1:7" ht="17" x14ac:dyDescent="0.2">
      <c r="A31" s="4">
        <v>30</v>
      </c>
      <c r="B31" s="2" t="s">
        <v>24</v>
      </c>
      <c r="C31" s="2" t="s">
        <v>162</v>
      </c>
      <c r="D31" s="29" t="s">
        <v>50</v>
      </c>
      <c r="E31" s="34">
        <v>5000</v>
      </c>
      <c r="F31" s="31">
        <f>50%*'Claim data numbers'!H32+30%*'Claim data numbers'!N32+20%*'Claim data numbers'!T32</f>
        <v>0.96813166139263274</v>
      </c>
      <c r="G31" s="32">
        <f>50%*'Complaints data'!C31+30%*'Complaints data'!D31+20%*'Complaints data'!E31</f>
        <v>5.8529999999999998</v>
      </c>
    </row>
    <row r="32" spans="1:7" ht="17" x14ac:dyDescent="0.2">
      <c r="A32" s="4">
        <v>31</v>
      </c>
      <c r="B32" s="2" t="s">
        <v>25</v>
      </c>
      <c r="C32" s="2" t="s">
        <v>163</v>
      </c>
      <c r="D32" s="36" t="s">
        <v>47</v>
      </c>
      <c r="E32" s="34">
        <v>6200</v>
      </c>
      <c r="F32" s="31">
        <f>50%*'Claim data numbers'!H33+30%*'Claim data numbers'!N33+20%*'Claim data numbers'!T33</f>
        <v>0.93139672628268677</v>
      </c>
      <c r="G32" s="32">
        <f>50%*'Complaints data'!C32+30%*'Complaints data'!D32+20%*'Complaints data'!E32</f>
        <v>18.883999999999997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B32C-7981-4167-9476-C4275D909E6F}">
  <dimension ref="A1:T40"/>
  <sheetViews>
    <sheetView zoomScale="80" zoomScaleNormal="80" workbookViewId="0"/>
  </sheetViews>
  <sheetFormatPr baseColWidth="10" defaultColWidth="8.83203125" defaultRowHeight="16" x14ac:dyDescent="0.2"/>
  <cols>
    <col min="1" max="1" width="4.6640625" bestFit="1" customWidth="1"/>
    <col min="2" max="2" width="49.33203125" bestFit="1" customWidth="1"/>
    <col min="3" max="3" width="26.6640625" bestFit="1" customWidth="1"/>
    <col min="4" max="4" width="12.6640625" bestFit="1" customWidth="1"/>
    <col min="5" max="5" width="33.83203125" bestFit="1" customWidth="1"/>
    <col min="6" max="6" width="27.83203125" bestFit="1" customWidth="1"/>
    <col min="7" max="7" width="26.1640625" bestFit="1" customWidth="1"/>
    <col min="8" max="8" width="20.1640625" bestFit="1" customWidth="1"/>
    <col min="9" max="9" width="26.6640625" bestFit="1" customWidth="1"/>
    <col min="10" max="10" width="12.6640625" bestFit="1" customWidth="1"/>
    <col min="11" max="11" width="33.83203125" bestFit="1" customWidth="1"/>
    <col min="12" max="12" width="27.83203125" bestFit="1" customWidth="1"/>
    <col min="13" max="13" width="26.1640625" bestFit="1" customWidth="1"/>
    <col min="14" max="14" width="20.1640625" bestFit="1" customWidth="1"/>
    <col min="15" max="15" width="26.6640625" bestFit="1" customWidth="1"/>
    <col min="16" max="16" width="12.6640625" bestFit="1" customWidth="1"/>
    <col min="17" max="17" width="33.83203125" bestFit="1" customWidth="1"/>
    <col min="18" max="18" width="27.83203125" bestFit="1" customWidth="1"/>
    <col min="19" max="19" width="26.1640625" bestFit="1" customWidth="1"/>
    <col min="20" max="20" width="20.1640625" bestFit="1" customWidth="1"/>
  </cols>
  <sheetData>
    <row r="1" spans="1:20" x14ac:dyDescent="0.2">
      <c r="A1" s="8"/>
      <c r="B1" s="8"/>
      <c r="C1" s="39" t="s">
        <v>106</v>
      </c>
      <c r="D1" s="39"/>
      <c r="E1" s="39"/>
      <c r="F1" s="39"/>
      <c r="G1" s="39"/>
      <c r="H1" s="39"/>
      <c r="I1" s="39" t="s">
        <v>107</v>
      </c>
      <c r="J1" s="39"/>
      <c r="K1" s="39"/>
      <c r="L1" s="39"/>
      <c r="M1" s="39"/>
      <c r="N1" s="39"/>
      <c r="O1" s="39" t="s">
        <v>108</v>
      </c>
      <c r="P1" s="39"/>
      <c r="Q1" s="39"/>
      <c r="R1" s="39"/>
      <c r="S1" s="39"/>
      <c r="T1" s="39"/>
    </row>
    <row r="2" spans="1:20" x14ac:dyDescent="0.2">
      <c r="A2" s="5" t="s">
        <v>30</v>
      </c>
      <c r="B2" s="5" t="s">
        <v>31</v>
      </c>
      <c r="C2" s="8" t="s">
        <v>109</v>
      </c>
      <c r="D2" s="8" t="s">
        <v>110</v>
      </c>
      <c r="E2" s="8" t="s">
        <v>111</v>
      </c>
      <c r="F2" s="8" t="s">
        <v>112</v>
      </c>
      <c r="G2" s="8" t="s">
        <v>113</v>
      </c>
      <c r="H2" s="9" t="s">
        <v>114</v>
      </c>
      <c r="I2" s="8" t="s">
        <v>109</v>
      </c>
      <c r="J2" s="8" t="s">
        <v>110</v>
      </c>
      <c r="K2" s="8" t="s">
        <v>111</v>
      </c>
      <c r="L2" s="8" t="s">
        <v>112</v>
      </c>
      <c r="M2" s="8" t="s">
        <v>113</v>
      </c>
      <c r="N2" s="9" t="s">
        <v>114</v>
      </c>
      <c r="O2" s="8" t="s">
        <v>109</v>
      </c>
      <c r="P2" s="8" t="s">
        <v>110</v>
      </c>
      <c r="Q2" s="8" t="s">
        <v>111</v>
      </c>
      <c r="R2" s="8" t="s">
        <v>112</v>
      </c>
      <c r="S2" s="8" t="s">
        <v>113</v>
      </c>
      <c r="T2" s="9" t="s">
        <v>114</v>
      </c>
    </row>
    <row r="3" spans="1:20" x14ac:dyDescent="0.2">
      <c r="A3" s="1">
        <v>1</v>
      </c>
      <c r="B3" s="12" t="s">
        <v>26</v>
      </c>
      <c r="C3" s="20">
        <v>2294738</v>
      </c>
      <c r="D3" s="20">
        <v>0</v>
      </c>
      <c r="E3" s="20">
        <v>15462</v>
      </c>
      <c r="F3" s="20">
        <v>2424887</v>
      </c>
      <c r="G3" s="20">
        <v>47084</v>
      </c>
      <c r="H3" s="21">
        <f>(C3+D3)/(E3+F3-G3)</f>
        <v>0.95883155438282008</v>
      </c>
      <c r="I3" s="20">
        <v>1268539</v>
      </c>
      <c r="J3" s="20">
        <v>0</v>
      </c>
      <c r="K3" s="20">
        <v>13389</v>
      </c>
      <c r="L3" s="20">
        <v>1328865</v>
      </c>
      <c r="M3" s="20">
        <v>15462</v>
      </c>
      <c r="N3" s="22">
        <f>(I3+J3)/(K3+L3-M3)</f>
        <v>0.9560948513406774</v>
      </c>
      <c r="O3" s="20">
        <v>819432</v>
      </c>
      <c r="P3" s="20">
        <v>0</v>
      </c>
      <c r="Q3" s="20">
        <v>6664</v>
      </c>
      <c r="R3" s="20">
        <v>860731</v>
      </c>
      <c r="S3" s="8">
        <v>13389</v>
      </c>
      <c r="T3" s="22">
        <f>(O3+P3)/(Q3+R3-S3)</f>
        <v>0.9595155069168132</v>
      </c>
    </row>
    <row r="4" spans="1:20" x14ac:dyDescent="0.2">
      <c r="A4" s="1">
        <v>2</v>
      </c>
      <c r="B4" s="12" t="s">
        <v>1</v>
      </c>
      <c r="C4" s="20">
        <v>1442494</v>
      </c>
      <c r="D4" s="20">
        <v>0</v>
      </c>
      <c r="E4" s="20">
        <v>25411</v>
      </c>
      <c r="F4" s="8">
        <v>1493233</v>
      </c>
      <c r="G4" s="20">
        <v>27486</v>
      </c>
      <c r="H4" s="21">
        <f>(C4+D4)/(E4+F4-G4)</f>
        <v>0.96736496065473943</v>
      </c>
      <c r="I4" s="20">
        <v>1010334</v>
      </c>
      <c r="J4" s="20">
        <v>0</v>
      </c>
      <c r="K4" s="20">
        <v>23402</v>
      </c>
      <c r="L4" s="8">
        <v>1092939</v>
      </c>
      <c r="M4" s="20">
        <v>25411</v>
      </c>
      <c r="N4" s="22">
        <f>(I4+J4)/(K4+L4-M4)</f>
        <v>0.92612174933313773</v>
      </c>
      <c r="O4" s="20">
        <v>711440</v>
      </c>
      <c r="P4" s="20">
        <v>0</v>
      </c>
      <c r="Q4" s="20">
        <v>18100</v>
      </c>
      <c r="R4" s="8">
        <v>795498</v>
      </c>
      <c r="S4" s="20">
        <v>23402</v>
      </c>
      <c r="T4" s="22">
        <f>(O4+P4)/(Q4+R4-S4)</f>
        <v>0.90033358812244046</v>
      </c>
    </row>
    <row r="5" spans="1:20" x14ac:dyDescent="0.2">
      <c r="A5" s="1">
        <v>3</v>
      </c>
      <c r="B5" s="12" t="s">
        <v>0</v>
      </c>
      <c r="C5" s="20">
        <v>460536</v>
      </c>
      <c r="D5" s="20">
        <v>0</v>
      </c>
      <c r="E5" s="20">
        <v>3700</v>
      </c>
      <c r="F5" s="20">
        <v>491305</v>
      </c>
      <c r="G5" s="20">
        <v>3482</v>
      </c>
      <c r="H5" s="21">
        <f>(C5+D5)/(E5+F5-G5)</f>
        <v>0.93695717189226135</v>
      </c>
      <c r="I5" s="20">
        <v>397514</v>
      </c>
      <c r="J5" s="20">
        <v>0</v>
      </c>
      <c r="K5" s="20">
        <v>8524</v>
      </c>
      <c r="L5" s="20">
        <v>444836</v>
      </c>
      <c r="M5" s="20">
        <v>4408</v>
      </c>
      <c r="N5" s="22">
        <f>(I5+J5)/(K5+L5-M5)</f>
        <v>0.88542650439245174</v>
      </c>
      <c r="O5" s="20">
        <v>367238</v>
      </c>
      <c r="P5" s="20">
        <v>0</v>
      </c>
      <c r="Q5" s="20">
        <v>4648</v>
      </c>
      <c r="R5" s="20">
        <v>411177</v>
      </c>
      <c r="S5" s="20">
        <v>8524</v>
      </c>
      <c r="T5" s="22">
        <f>(O5+P5)/(Q5+R5-S5)</f>
        <v>0.90163785505068728</v>
      </c>
    </row>
    <row r="6" spans="1:20" x14ac:dyDescent="0.2">
      <c r="A6" s="1">
        <v>4</v>
      </c>
      <c r="B6" s="12" t="s">
        <v>27</v>
      </c>
      <c r="C6" s="20">
        <v>944079</v>
      </c>
      <c r="D6" s="20">
        <v>0</v>
      </c>
      <c r="E6" s="20">
        <v>15376</v>
      </c>
      <c r="F6" s="20">
        <v>1028339</v>
      </c>
      <c r="G6" s="20">
        <v>21861</v>
      </c>
      <c r="H6" s="21">
        <f>(C6+D6)/(E6+F6-G6)</f>
        <v>0.92388834412743892</v>
      </c>
      <c r="I6" s="20">
        <v>643344</v>
      </c>
      <c r="J6" s="20">
        <v>0</v>
      </c>
      <c r="K6" s="20">
        <v>10605</v>
      </c>
      <c r="L6" s="20">
        <v>704615</v>
      </c>
      <c r="M6" s="20">
        <v>15376</v>
      </c>
      <c r="N6" s="22">
        <f>(I6+J6)/(K6+L6-M6)</f>
        <v>0.91926772252101896</v>
      </c>
      <c r="O6" s="20">
        <v>400492</v>
      </c>
      <c r="P6" s="20">
        <v>0</v>
      </c>
      <c r="Q6" s="20">
        <v>6065</v>
      </c>
      <c r="R6" s="20">
        <v>446931</v>
      </c>
      <c r="S6" s="20">
        <v>10605</v>
      </c>
      <c r="T6" s="22">
        <f>(O6+P6)/(Q6+R6-S6)</f>
        <v>0.90528966457274218</v>
      </c>
    </row>
    <row r="7" spans="1:20" x14ac:dyDescent="0.2">
      <c r="A7" s="3">
        <v>5</v>
      </c>
      <c r="B7" s="12" t="s">
        <v>28</v>
      </c>
      <c r="C7" s="20">
        <v>2447594</v>
      </c>
      <c r="D7" s="20">
        <v>0</v>
      </c>
      <c r="E7" s="20">
        <v>30369</v>
      </c>
      <c r="F7" s="20">
        <v>2783577</v>
      </c>
      <c r="G7" s="20">
        <v>43413</v>
      </c>
      <c r="H7" s="21">
        <f>(C7+D7)/(E7+F7-G7)</f>
        <v>0.88343795219187071</v>
      </c>
      <c r="I7" s="20">
        <v>1918735</v>
      </c>
      <c r="J7" s="20">
        <v>0</v>
      </c>
      <c r="K7" s="20">
        <v>126813</v>
      </c>
      <c r="L7" s="20">
        <v>2122082</v>
      </c>
      <c r="M7" s="20">
        <v>30369</v>
      </c>
      <c r="N7" s="22">
        <f>(I7+J7)/(K7+L7-M7)</f>
        <v>0.86486928708520883</v>
      </c>
      <c r="O7" s="20">
        <v>1471032</v>
      </c>
      <c r="P7" s="20">
        <v>0</v>
      </c>
      <c r="Q7" s="20">
        <v>110604</v>
      </c>
      <c r="R7" s="20">
        <v>1853425</v>
      </c>
      <c r="S7" s="20">
        <v>126813</v>
      </c>
      <c r="T7" s="22">
        <f>(O7+P7)/(Q7+R7-S7)</f>
        <v>0.80068538484315399</v>
      </c>
    </row>
    <row r="8" spans="1:20" x14ac:dyDescent="0.2">
      <c r="A8" s="3">
        <v>6</v>
      </c>
      <c r="B8" s="12" t="s">
        <v>58</v>
      </c>
      <c r="C8" s="20" t="s">
        <v>84</v>
      </c>
      <c r="D8" s="20" t="s">
        <v>84</v>
      </c>
      <c r="E8" s="20" t="s">
        <v>84</v>
      </c>
      <c r="F8" s="20" t="s">
        <v>84</v>
      </c>
      <c r="G8" s="20" t="s">
        <v>84</v>
      </c>
      <c r="H8" s="23" t="s">
        <v>84</v>
      </c>
      <c r="I8" s="20" t="s">
        <v>84</v>
      </c>
      <c r="J8" s="20" t="s">
        <v>84</v>
      </c>
      <c r="K8" s="20" t="s">
        <v>84</v>
      </c>
      <c r="L8" s="20" t="s">
        <v>84</v>
      </c>
      <c r="M8" s="20" t="s">
        <v>84</v>
      </c>
      <c r="N8" s="23" t="s">
        <v>84</v>
      </c>
      <c r="O8" s="20" t="s">
        <v>84</v>
      </c>
      <c r="P8" s="20" t="s">
        <v>84</v>
      </c>
      <c r="Q8" s="20" t="s">
        <v>84</v>
      </c>
      <c r="R8" s="20" t="s">
        <v>84</v>
      </c>
      <c r="S8" s="20" t="s">
        <v>84</v>
      </c>
      <c r="T8" s="23" t="s">
        <v>84</v>
      </c>
    </row>
    <row r="9" spans="1:20" x14ac:dyDescent="0.2">
      <c r="A9" s="3">
        <v>7</v>
      </c>
      <c r="B9" s="12" t="s">
        <v>2</v>
      </c>
      <c r="C9" s="20" t="s">
        <v>84</v>
      </c>
      <c r="D9" s="20" t="s">
        <v>84</v>
      </c>
      <c r="E9" s="20" t="s">
        <v>84</v>
      </c>
      <c r="F9" s="20" t="s">
        <v>84</v>
      </c>
      <c r="G9" s="20" t="s">
        <v>84</v>
      </c>
      <c r="H9" s="23" t="s">
        <v>84</v>
      </c>
      <c r="I9" s="20" t="s">
        <v>84</v>
      </c>
      <c r="J9" s="20" t="s">
        <v>84</v>
      </c>
      <c r="K9" s="20" t="s">
        <v>84</v>
      </c>
      <c r="L9" s="20" t="s">
        <v>84</v>
      </c>
      <c r="M9" s="20" t="s">
        <v>84</v>
      </c>
      <c r="N9" s="23" t="s">
        <v>84</v>
      </c>
      <c r="O9" s="20" t="s">
        <v>84</v>
      </c>
      <c r="P9" s="20" t="s">
        <v>84</v>
      </c>
      <c r="Q9" s="20" t="s">
        <v>84</v>
      </c>
      <c r="R9" s="20" t="s">
        <v>84</v>
      </c>
      <c r="S9" s="20" t="s">
        <v>84</v>
      </c>
      <c r="T9" s="23" t="s">
        <v>84</v>
      </c>
    </row>
    <row r="10" spans="1:20" x14ac:dyDescent="0.2">
      <c r="A10" s="4">
        <v>8</v>
      </c>
      <c r="B10" s="12" t="s">
        <v>3</v>
      </c>
      <c r="C10" s="20">
        <v>160844</v>
      </c>
      <c r="D10" s="24">
        <v>0</v>
      </c>
      <c r="E10" s="20">
        <v>6158</v>
      </c>
      <c r="F10" s="20">
        <v>167797</v>
      </c>
      <c r="G10" s="20">
        <v>5963</v>
      </c>
      <c r="H10" s="21">
        <f t="shared" ref="H10:H18" si="0">(C10+D10)/(E10+F10-G10)</f>
        <v>0.95745035477879903</v>
      </c>
      <c r="I10" s="20">
        <v>126293</v>
      </c>
      <c r="J10" s="20">
        <v>0</v>
      </c>
      <c r="K10" s="20">
        <v>5529</v>
      </c>
      <c r="L10" s="20">
        <v>131767</v>
      </c>
      <c r="M10" s="20">
        <v>6158</v>
      </c>
      <c r="N10" s="22">
        <f t="shared" ref="N10:N18" si="1">(I10+J10)/(K10+L10-M10)</f>
        <v>0.96305418719211822</v>
      </c>
      <c r="O10" s="20">
        <v>112609</v>
      </c>
      <c r="P10" s="20">
        <v>10944</v>
      </c>
      <c r="Q10" s="20">
        <v>2956</v>
      </c>
      <c r="R10" s="20">
        <v>129072</v>
      </c>
      <c r="S10" s="20">
        <v>5529</v>
      </c>
      <c r="T10" s="22">
        <f>(O10+P10)/(Q10+R10-S10)</f>
        <v>0.97671127835002647</v>
      </c>
    </row>
    <row r="11" spans="1:20" x14ac:dyDescent="0.2">
      <c r="A11" s="4">
        <v>9</v>
      </c>
      <c r="B11" s="12" t="s">
        <v>4</v>
      </c>
      <c r="C11" s="8">
        <v>2920973</v>
      </c>
      <c r="D11" s="20">
        <v>104502</v>
      </c>
      <c r="E11" s="8">
        <v>17052</v>
      </c>
      <c r="F11" s="8">
        <v>3117591</v>
      </c>
      <c r="G11" s="8">
        <v>28593</v>
      </c>
      <c r="H11" s="21">
        <f t="shared" si="0"/>
        <v>0.97405869190772842</v>
      </c>
      <c r="I11" s="20">
        <v>1851284</v>
      </c>
      <c r="J11" s="20">
        <v>66705</v>
      </c>
      <c r="K11" s="20">
        <v>37939</v>
      </c>
      <c r="L11" s="8">
        <v>1970977</v>
      </c>
      <c r="M11" s="8">
        <v>17052</v>
      </c>
      <c r="N11" s="22">
        <f t="shared" si="1"/>
        <v>0.96291162448841894</v>
      </c>
      <c r="O11" s="8">
        <v>876096</v>
      </c>
      <c r="P11" s="20">
        <v>31310</v>
      </c>
      <c r="Q11" s="8">
        <v>135251</v>
      </c>
      <c r="R11" s="8">
        <v>838615</v>
      </c>
      <c r="S11" s="8">
        <v>37939</v>
      </c>
      <c r="T11" s="22">
        <f>(O11+P11)/(Q11+R11-S11)</f>
        <v>0.96952646947892307</v>
      </c>
    </row>
    <row r="12" spans="1:20" x14ac:dyDescent="0.2">
      <c r="A12" s="4">
        <v>10</v>
      </c>
      <c r="B12" s="12" t="s">
        <v>5</v>
      </c>
      <c r="C12" s="8">
        <v>129928</v>
      </c>
      <c r="D12" s="20">
        <v>514</v>
      </c>
      <c r="E12" s="8">
        <v>19657</v>
      </c>
      <c r="F12" s="8">
        <v>160101</v>
      </c>
      <c r="G12" s="8">
        <v>23232</v>
      </c>
      <c r="H12" s="21">
        <f t="shared" si="0"/>
        <v>0.83335675862157088</v>
      </c>
      <c r="I12" s="8">
        <v>108790</v>
      </c>
      <c r="J12" s="20">
        <v>656</v>
      </c>
      <c r="K12" s="8">
        <v>20373</v>
      </c>
      <c r="L12" s="8">
        <v>131421</v>
      </c>
      <c r="M12" s="8">
        <v>19657</v>
      </c>
      <c r="N12" s="22">
        <f t="shared" si="1"/>
        <v>0.82827671280564863</v>
      </c>
      <c r="O12" s="8">
        <v>93144</v>
      </c>
      <c r="P12" s="20">
        <v>544</v>
      </c>
      <c r="Q12" s="8">
        <v>17873</v>
      </c>
      <c r="R12" s="8">
        <v>116900</v>
      </c>
      <c r="S12" s="8">
        <v>20373</v>
      </c>
      <c r="T12" s="22">
        <f>(O12+P12)/(Q12+R12-S12)</f>
        <v>0.81895104895104898</v>
      </c>
    </row>
    <row r="13" spans="1:20" x14ac:dyDescent="0.2">
      <c r="A13" s="4">
        <v>11</v>
      </c>
      <c r="B13" s="12" t="s">
        <v>6</v>
      </c>
      <c r="C13" s="20">
        <v>349880</v>
      </c>
      <c r="D13" s="20">
        <v>0</v>
      </c>
      <c r="E13" s="20">
        <v>13371</v>
      </c>
      <c r="F13" s="20">
        <v>367318</v>
      </c>
      <c r="G13" s="20">
        <v>10608</v>
      </c>
      <c r="H13" s="21">
        <f t="shared" si="0"/>
        <v>0.94541465246797318</v>
      </c>
      <c r="I13" s="20">
        <v>189918</v>
      </c>
      <c r="J13" s="20">
        <v>0</v>
      </c>
      <c r="K13" s="20">
        <v>8780</v>
      </c>
      <c r="L13" s="20">
        <v>210689</v>
      </c>
      <c r="M13" s="20">
        <v>13371</v>
      </c>
      <c r="N13" s="22">
        <f t="shared" si="1"/>
        <v>0.92149365835670405</v>
      </c>
      <c r="O13" s="20" t="s">
        <v>84</v>
      </c>
      <c r="P13" s="20" t="s">
        <v>84</v>
      </c>
      <c r="Q13" s="20" t="s">
        <v>84</v>
      </c>
      <c r="R13" s="20" t="s">
        <v>84</v>
      </c>
      <c r="S13" s="20" t="s">
        <v>84</v>
      </c>
      <c r="T13" s="23" t="s">
        <v>84</v>
      </c>
    </row>
    <row r="14" spans="1:20" x14ac:dyDescent="0.2">
      <c r="A14" s="4">
        <v>12</v>
      </c>
      <c r="B14" s="12" t="s">
        <v>11</v>
      </c>
      <c r="C14" s="20">
        <v>218082</v>
      </c>
      <c r="D14" s="20">
        <v>13504</v>
      </c>
      <c r="E14" s="20">
        <v>5295</v>
      </c>
      <c r="F14" s="8">
        <v>235194</v>
      </c>
      <c r="G14" s="8">
        <v>6017</v>
      </c>
      <c r="H14" s="21">
        <f t="shared" si="0"/>
        <v>0.98769149408031665</v>
      </c>
      <c r="I14" s="20">
        <v>155478</v>
      </c>
      <c r="J14" s="20">
        <v>9863</v>
      </c>
      <c r="K14" s="20">
        <v>4422</v>
      </c>
      <c r="L14" s="8">
        <v>168060</v>
      </c>
      <c r="M14" s="20">
        <v>5295</v>
      </c>
      <c r="N14" s="22">
        <f t="shared" si="1"/>
        <v>0.98895847165150397</v>
      </c>
      <c r="O14" s="20">
        <v>78820</v>
      </c>
      <c r="P14" s="20">
        <v>1460</v>
      </c>
      <c r="Q14" s="8">
        <v>991</v>
      </c>
      <c r="R14" s="20">
        <v>91170</v>
      </c>
      <c r="S14" s="8">
        <v>4422</v>
      </c>
      <c r="T14" s="22">
        <f>(O14+P14)/(Q14+R14-S14)</f>
        <v>0.91498649403344012</v>
      </c>
    </row>
    <row r="15" spans="1:20" x14ac:dyDescent="0.2">
      <c r="A15" s="4">
        <v>13</v>
      </c>
      <c r="B15" s="12" t="s">
        <v>9</v>
      </c>
      <c r="C15" s="20">
        <v>1150913</v>
      </c>
      <c r="D15" s="20">
        <v>0</v>
      </c>
      <c r="E15" s="20">
        <v>29252</v>
      </c>
      <c r="F15" s="20">
        <v>1178408</v>
      </c>
      <c r="G15" s="20">
        <v>26680</v>
      </c>
      <c r="H15" s="21">
        <f t="shared" si="0"/>
        <v>0.97454063574319638</v>
      </c>
      <c r="I15" s="20">
        <v>844929</v>
      </c>
      <c r="J15" s="20">
        <v>27133</v>
      </c>
      <c r="K15" s="20">
        <v>29450</v>
      </c>
      <c r="L15" s="20">
        <v>896331</v>
      </c>
      <c r="M15" s="20">
        <v>29252</v>
      </c>
      <c r="N15" s="22">
        <f t="shared" si="1"/>
        <v>0.9727091928983892</v>
      </c>
      <c r="O15" s="20">
        <v>796532</v>
      </c>
      <c r="P15" s="20">
        <v>55543</v>
      </c>
      <c r="Q15" s="20">
        <v>24288</v>
      </c>
      <c r="R15" s="20">
        <v>894853</v>
      </c>
      <c r="S15" s="20">
        <v>29450</v>
      </c>
      <c r="T15" s="22">
        <f>(O15+P15)/(Q15+R15-S15)</f>
        <v>0.95772015227758855</v>
      </c>
    </row>
    <row r="16" spans="1:20" x14ac:dyDescent="0.2">
      <c r="A16" s="4">
        <v>14</v>
      </c>
      <c r="B16" s="12" t="s">
        <v>10</v>
      </c>
      <c r="C16" s="20">
        <v>1137172</v>
      </c>
      <c r="D16" s="20">
        <v>0</v>
      </c>
      <c r="E16" s="20">
        <v>52447</v>
      </c>
      <c r="F16" s="20">
        <v>1351186</v>
      </c>
      <c r="G16" s="20">
        <v>44273</v>
      </c>
      <c r="H16" s="21">
        <f t="shared" si="0"/>
        <v>0.83654955273069675</v>
      </c>
      <c r="I16" s="20">
        <v>935327</v>
      </c>
      <c r="J16" s="20">
        <v>0</v>
      </c>
      <c r="K16" s="20">
        <v>58585</v>
      </c>
      <c r="L16" s="20">
        <v>1096421</v>
      </c>
      <c r="M16" s="20">
        <v>52447</v>
      </c>
      <c r="N16" s="22">
        <f t="shared" si="1"/>
        <v>0.84832376317276448</v>
      </c>
      <c r="O16" s="20">
        <v>822138</v>
      </c>
      <c r="P16" s="20">
        <v>0</v>
      </c>
      <c r="Q16" s="20">
        <v>65218</v>
      </c>
      <c r="R16" s="20">
        <v>960375</v>
      </c>
      <c r="S16" s="20">
        <v>58585</v>
      </c>
      <c r="T16" s="22">
        <f>(O16+P16)/(Q16+R16-S16)</f>
        <v>0.85018738211059264</v>
      </c>
    </row>
    <row r="17" spans="1:20" x14ac:dyDescent="0.2">
      <c r="A17" s="4">
        <v>15</v>
      </c>
      <c r="B17" s="12" t="s">
        <v>12</v>
      </c>
      <c r="C17" s="8">
        <v>161617</v>
      </c>
      <c r="D17" s="20">
        <v>0</v>
      </c>
      <c r="E17" s="8">
        <v>16723</v>
      </c>
      <c r="F17" s="8">
        <v>179346</v>
      </c>
      <c r="G17" s="8">
        <v>7342</v>
      </c>
      <c r="H17" s="21">
        <f t="shared" si="0"/>
        <v>0.85635335696535209</v>
      </c>
      <c r="I17" s="8">
        <v>669496</v>
      </c>
      <c r="J17" s="20">
        <v>0</v>
      </c>
      <c r="K17" s="8">
        <v>26071</v>
      </c>
      <c r="L17" s="8">
        <v>708996</v>
      </c>
      <c r="M17" s="8">
        <v>16723</v>
      </c>
      <c r="N17" s="22">
        <f t="shared" si="1"/>
        <v>0.93199915360885588</v>
      </c>
      <c r="O17" s="8">
        <v>620353</v>
      </c>
      <c r="P17" s="20">
        <v>0</v>
      </c>
      <c r="Q17" s="8">
        <v>7689</v>
      </c>
      <c r="R17" s="8">
        <v>673230</v>
      </c>
      <c r="S17" s="8">
        <v>26071</v>
      </c>
      <c r="T17" s="22">
        <f>(O17+P17)/(Q17+R17-S17)</f>
        <v>0.94732365373338545</v>
      </c>
    </row>
    <row r="18" spans="1:20" x14ac:dyDescent="0.2">
      <c r="A18" s="4">
        <v>16</v>
      </c>
      <c r="B18" s="12" t="s">
        <v>13</v>
      </c>
      <c r="C18" s="8">
        <v>116072</v>
      </c>
      <c r="D18" s="20">
        <v>0</v>
      </c>
      <c r="E18" s="20">
        <v>4489</v>
      </c>
      <c r="F18" s="8">
        <v>124664</v>
      </c>
      <c r="G18" s="20">
        <v>4709</v>
      </c>
      <c r="H18" s="21">
        <f t="shared" si="0"/>
        <v>0.93272475973128477</v>
      </c>
      <c r="I18" s="8">
        <v>112782</v>
      </c>
      <c r="J18" s="20">
        <v>0</v>
      </c>
      <c r="K18" s="20">
        <v>4250</v>
      </c>
      <c r="L18" s="8">
        <v>120828</v>
      </c>
      <c r="M18" s="20">
        <v>4489</v>
      </c>
      <c r="N18" s="22">
        <f t="shared" si="1"/>
        <v>0.93525943494016872</v>
      </c>
      <c r="O18" s="8">
        <v>61035</v>
      </c>
      <c r="P18" s="20">
        <v>0</v>
      </c>
      <c r="Q18" s="20">
        <v>2922</v>
      </c>
      <c r="R18" s="8">
        <v>66656</v>
      </c>
      <c r="S18" s="20">
        <v>4250</v>
      </c>
      <c r="T18" s="22">
        <f>(O18+P18)/(Q18+R18-S18)</f>
        <v>0.93428545187362233</v>
      </c>
    </row>
    <row r="19" spans="1:20" x14ac:dyDescent="0.2">
      <c r="A19" s="4">
        <v>17</v>
      </c>
      <c r="B19" s="12" t="s">
        <v>14</v>
      </c>
      <c r="C19" s="20" t="s">
        <v>84</v>
      </c>
      <c r="D19" s="20" t="s">
        <v>84</v>
      </c>
      <c r="E19" s="20" t="s">
        <v>84</v>
      </c>
      <c r="F19" s="20" t="s">
        <v>84</v>
      </c>
      <c r="G19" s="20" t="s">
        <v>84</v>
      </c>
      <c r="H19" s="23" t="s">
        <v>84</v>
      </c>
      <c r="I19" s="20" t="s">
        <v>84</v>
      </c>
      <c r="J19" s="20" t="s">
        <v>84</v>
      </c>
      <c r="K19" s="20" t="s">
        <v>84</v>
      </c>
      <c r="L19" s="20" t="s">
        <v>84</v>
      </c>
      <c r="M19" s="20" t="s">
        <v>84</v>
      </c>
      <c r="N19" s="23" t="s">
        <v>84</v>
      </c>
      <c r="O19" s="20" t="s">
        <v>84</v>
      </c>
      <c r="P19" s="20" t="s">
        <v>84</v>
      </c>
      <c r="Q19" s="20" t="s">
        <v>84</v>
      </c>
      <c r="R19" s="20" t="s">
        <v>84</v>
      </c>
      <c r="S19" s="20" t="s">
        <v>84</v>
      </c>
      <c r="T19" s="23" t="s">
        <v>84</v>
      </c>
    </row>
    <row r="20" spans="1:20" x14ac:dyDescent="0.2">
      <c r="A20" s="4">
        <v>18</v>
      </c>
      <c r="B20" s="12" t="s">
        <v>7</v>
      </c>
      <c r="C20" s="20">
        <v>96063</v>
      </c>
      <c r="D20" s="20">
        <v>2375</v>
      </c>
      <c r="E20" s="20">
        <v>4517</v>
      </c>
      <c r="F20" s="20">
        <v>110674</v>
      </c>
      <c r="G20" s="20">
        <v>7058</v>
      </c>
      <c r="H20" s="21">
        <f t="shared" ref="H20:H33" si="2">(C20+D20)/(E20+F20-G20)</f>
        <v>0.91034189377895736</v>
      </c>
      <c r="I20" s="20">
        <v>54356</v>
      </c>
      <c r="J20" s="20">
        <v>1309</v>
      </c>
      <c r="K20" s="20">
        <v>2592</v>
      </c>
      <c r="L20" s="20">
        <v>64976</v>
      </c>
      <c r="M20" s="20">
        <v>4517</v>
      </c>
      <c r="N20" s="22">
        <f t="shared" ref="N20:N33" si="3">(I20+J20)/(K20+L20-M20)</f>
        <v>0.88285673502402817</v>
      </c>
      <c r="O20" s="20">
        <v>20381</v>
      </c>
      <c r="P20" s="20">
        <v>349</v>
      </c>
      <c r="Q20" s="8">
        <v>991</v>
      </c>
      <c r="R20" s="20">
        <v>24781</v>
      </c>
      <c r="S20" s="20">
        <v>2592</v>
      </c>
      <c r="T20" s="22">
        <f t="shared" ref="T20:T33" si="4">(O20+P20)/(Q20+R20-S20)</f>
        <v>0.89430543572044863</v>
      </c>
    </row>
    <row r="21" spans="1:20" x14ac:dyDescent="0.2">
      <c r="A21" s="4">
        <v>19</v>
      </c>
      <c r="B21" s="12" t="s">
        <v>8</v>
      </c>
      <c r="C21" s="20">
        <v>1861534</v>
      </c>
      <c r="D21" s="20">
        <v>103954</v>
      </c>
      <c r="E21" s="20">
        <v>148647</v>
      </c>
      <c r="F21" s="20">
        <v>2167827</v>
      </c>
      <c r="G21" s="20">
        <v>222892</v>
      </c>
      <c r="H21" s="21">
        <f t="shared" si="2"/>
        <v>0.93881586677760887</v>
      </c>
      <c r="I21" s="8">
        <v>1913361</v>
      </c>
      <c r="J21" s="20">
        <v>139553</v>
      </c>
      <c r="K21" s="8">
        <v>165358</v>
      </c>
      <c r="L21" s="8">
        <v>2143667</v>
      </c>
      <c r="M21" s="8">
        <v>148647</v>
      </c>
      <c r="N21" s="22">
        <f t="shared" si="3"/>
        <v>0.95025685319883835</v>
      </c>
      <c r="O21" s="8">
        <v>2085743</v>
      </c>
      <c r="P21" s="20">
        <v>125305</v>
      </c>
      <c r="Q21" s="8">
        <v>232887</v>
      </c>
      <c r="R21" s="8">
        <v>2239541</v>
      </c>
      <c r="S21" s="8">
        <v>165358</v>
      </c>
      <c r="T21" s="22">
        <f t="shared" si="4"/>
        <v>0.95837924293584509</v>
      </c>
    </row>
    <row r="22" spans="1:20" x14ac:dyDescent="0.2">
      <c r="A22" s="4">
        <v>20</v>
      </c>
      <c r="B22" s="12" t="s">
        <v>15</v>
      </c>
      <c r="C22" s="20">
        <v>7328</v>
      </c>
      <c r="D22" s="20">
        <v>6</v>
      </c>
      <c r="E22" s="8">
        <v>324</v>
      </c>
      <c r="F22" s="20">
        <v>9281</v>
      </c>
      <c r="G22" s="8">
        <v>484</v>
      </c>
      <c r="H22" s="21">
        <f t="shared" si="2"/>
        <v>0.8040785001644557</v>
      </c>
      <c r="I22" s="20">
        <v>5418</v>
      </c>
      <c r="J22" s="20">
        <v>12</v>
      </c>
      <c r="K22" s="8">
        <v>223</v>
      </c>
      <c r="L22" s="20">
        <v>8646</v>
      </c>
      <c r="M22" s="8">
        <v>324</v>
      </c>
      <c r="N22" s="22">
        <f t="shared" si="3"/>
        <v>0.63545933294324164</v>
      </c>
      <c r="O22" s="20">
        <v>4874</v>
      </c>
      <c r="P22" s="20">
        <v>59</v>
      </c>
      <c r="Q22" s="8">
        <v>230</v>
      </c>
      <c r="R22" s="20">
        <v>6969</v>
      </c>
      <c r="S22" s="8">
        <v>222</v>
      </c>
      <c r="T22" s="22">
        <f t="shared" si="4"/>
        <v>0.70703740862835029</v>
      </c>
    </row>
    <row r="23" spans="1:20" x14ac:dyDescent="0.2">
      <c r="A23" s="4">
        <v>21</v>
      </c>
      <c r="B23" s="12" t="s">
        <v>29</v>
      </c>
      <c r="C23" s="8">
        <v>4065</v>
      </c>
      <c r="D23" s="20">
        <v>1013</v>
      </c>
      <c r="E23" s="8">
        <v>414</v>
      </c>
      <c r="F23" s="8">
        <v>5381</v>
      </c>
      <c r="G23" s="8">
        <v>250</v>
      </c>
      <c r="H23" s="21">
        <f t="shared" si="2"/>
        <v>0.91577998196573485</v>
      </c>
      <c r="I23" s="8">
        <v>3286</v>
      </c>
      <c r="J23" s="20">
        <v>445</v>
      </c>
      <c r="K23" s="8">
        <v>161</v>
      </c>
      <c r="L23" s="8">
        <v>4414</v>
      </c>
      <c r="M23" s="8">
        <v>414</v>
      </c>
      <c r="N23" s="22">
        <f t="shared" si="3"/>
        <v>0.89665945686133142</v>
      </c>
      <c r="O23" s="8">
        <v>1586</v>
      </c>
      <c r="P23" s="20">
        <v>335</v>
      </c>
      <c r="Q23" s="8">
        <v>68</v>
      </c>
      <c r="R23" s="8">
        <v>2178</v>
      </c>
      <c r="S23" s="8">
        <v>161</v>
      </c>
      <c r="T23" s="22">
        <f t="shared" si="4"/>
        <v>0.9213429256594724</v>
      </c>
    </row>
    <row r="24" spans="1:20" x14ac:dyDescent="0.2">
      <c r="A24" s="4">
        <v>22</v>
      </c>
      <c r="B24" s="12" t="s">
        <v>16</v>
      </c>
      <c r="C24" s="20">
        <v>525821</v>
      </c>
      <c r="D24" s="20">
        <v>34946</v>
      </c>
      <c r="E24" s="20">
        <v>159873</v>
      </c>
      <c r="F24" s="8">
        <v>649506</v>
      </c>
      <c r="G24" s="20">
        <v>165718</v>
      </c>
      <c r="H24" s="21">
        <f t="shared" si="2"/>
        <v>0.87121481649501831</v>
      </c>
      <c r="I24" s="20">
        <v>363488</v>
      </c>
      <c r="J24" s="20">
        <v>39280</v>
      </c>
      <c r="K24" s="20">
        <v>159000</v>
      </c>
      <c r="L24" s="8">
        <v>461264</v>
      </c>
      <c r="M24" s="20">
        <v>159873</v>
      </c>
      <c r="N24" s="22">
        <f t="shared" si="3"/>
        <v>0.87483899554943512</v>
      </c>
      <c r="O24" s="20">
        <v>280743</v>
      </c>
      <c r="P24" s="20">
        <v>20635</v>
      </c>
      <c r="Q24" s="20">
        <v>162661</v>
      </c>
      <c r="R24" s="8">
        <v>330113</v>
      </c>
      <c r="S24" s="20">
        <v>159000</v>
      </c>
      <c r="T24" s="22">
        <f t="shared" si="4"/>
        <v>0.90294031290633781</v>
      </c>
    </row>
    <row r="25" spans="1:20" x14ac:dyDescent="0.2">
      <c r="A25" s="4">
        <v>23</v>
      </c>
      <c r="B25" s="12" t="s">
        <v>17</v>
      </c>
      <c r="C25" s="8">
        <v>103006</v>
      </c>
      <c r="D25" s="20">
        <v>0</v>
      </c>
      <c r="E25" s="8">
        <v>4800</v>
      </c>
      <c r="F25" s="8">
        <v>118211</v>
      </c>
      <c r="G25" s="8">
        <v>7570</v>
      </c>
      <c r="H25" s="21">
        <f t="shared" si="2"/>
        <v>0.89228263788428719</v>
      </c>
      <c r="I25" s="8">
        <v>77844</v>
      </c>
      <c r="J25" s="20">
        <v>4299</v>
      </c>
      <c r="K25" s="8">
        <v>4895</v>
      </c>
      <c r="L25" s="8">
        <v>86090</v>
      </c>
      <c r="M25" s="8">
        <v>4800</v>
      </c>
      <c r="N25" s="22">
        <f t="shared" si="3"/>
        <v>0.95310088762545686</v>
      </c>
      <c r="O25" s="8">
        <v>57895</v>
      </c>
      <c r="P25" s="20">
        <v>4915</v>
      </c>
      <c r="Q25" s="8">
        <v>3869</v>
      </c>
      <c r="R25" s="8">
        <v>67912</v>
      </c>
      <c r="S25" s="8">
        <v>4895</v>
      </c>
      <c r="T25" s="22">
        <f t="shared" si="4"/>
        <v>0.93906049098466049</v>
      </c>
    </row>
    <row r="26" spans="1:20" x14ac:dyDescent="0.2">
      <c r="A26" s="4">
        <v>24</v>
      </c>
      <c r="B26" s="12" t="s">
        <v>18</v>
      </c>
      <c r="C26" s="8">
        <v>983021</v>
      </c>
      <c r="D26" s="20">
        <f>55221+7642</f>
        <v>62863</v>
      </c>
      <c r="E26" s="8">
        <v>20890</v>
      </c>
      <c r="F26" s="8">
        <v>1060468</v>
      </c>
      <c r="G26" s="8">
        <v>20740</v>
      </c>
      <c r="H26" s="21">
        <f t="shared" si="2"/>
        <v>0.98610809924025422</v>
      </c>
      <c r="I26" s="8">
        <f>315114+445526</f>
        <v>760640</v>
      </c>
      <c r="J26" s="20">
        <f>43511+23585</f>
        <v>67096</v>
      </c>
      <c r="K26" s="8">
        <f>15616+1122</f>
        <v>16738</v>
      </c>
      <c r="L26" s="8">
        <f>369233+469313</f>
        <v>838546</v>
      </c>
      <c r="M26" s="8">
        <f>19566+1324</f>
        <v>20890</v>
      </c>
      <c r="N26" s="22">
        <f t="shared" si="3"/>
        <v>0.99202055623602281</v>
      </c>
      <c r="O26" s="8">
        <f>207492+329409</f>
        <v>536901</v>
      </c>
      <c r="P26" s="20">
        <f>41543+3199</f>
        <v>44742</v>
      </c>
      <c r="Q26" s="8">
        <f>12241+1655</f>
        <v>13896</v>
      </c>
      <c r="R26" s="20">
        <f>265191+332075</f>
        <v>597266</v>
      </c>
      <c r="S26" s="8">
        <f>15616+1122</f>
        <v>16738</v>
      </c>
      <c r="T26" s="22">
        <f t="shared" si="4"/>
        <v>0.97849851284604927</v>
      </c>
    </row>
    <row r="27" spans="1:20" x14ac:dyDescent="0.2">
      <c r="A27" s="4">
        <v>25</v>
      </c>
      <c r="B27" s="12" t="s">
        <v>19</v>
      </c>
      <c r="C27" s="20">
        <v>2464</v>
      </c>
      <c r="D27" s="20">
        <v>0</v>
      </c>
      <c r="E27" s="8">
        <v>385</v>
      </c>
      <c r="F27" s="20">
        <v>2748</v>
      </c>
      <c r="G27" s="8">
        <v>519</v>
      </c>
      <c r="H27" s="21">
        <f t="shared" si="2"/>
        <v>0.94261667941851568</v>
      </c>
      <c r="I27" s="20">
        <v>1905</v>
      </c>
      <c r="J27" s="20">
        <v>0</v>
      </c>
      <c r="K27" s="8">
        <v>365</v>
      </c>
      <c r="L27" s="20">
        <v>2048</v>
      </c>
      <c r="M27" s="8">
        <v>385</v>
      </c>
      <c r="N27" s="22">
        <f t="shared" si="3"/>
        <v>0.93934911242603547</v>
      </c>
      <c r="O27" s="8">
        <v>922</v>
      </c>
      <c r="P27" s="20">
        <v>0</v>
      </c>
      <c r="Q27" s="8">
        <v>321</v>
      </c>
      <c r="R27" s="20">
        <v>1137</v>
      </c>
      <c r="S27" s="8">
        <v>365</v>
      </c>
      <c r="T27" s="22">
        <f t="shared" si="4"/>
        <v>0.84354986276303756</v>
      </c>
    </row>
    <row r="28" spans="1:20" x14ac:dyDescent="0.2">
      <c r="A28" s="4">
        <v>26</v>
      </c>
      <c r="B28" s="12" t="s">
        <v>20</v>
      </c>
      <c r="C28" s="20">
        <v>385003</v>
      </c>
      <c r="D28" s="20">
        <v>31169</v>
      </c>
      <c r="E28" s="20">
        <v>19418</v>
      </c>
      <c r="F28" s="20">
        <v>473299</v>
      </c>
      <c r="G28" s="20">
        <v>17134</v>
      </c>
      <c r="H28" s="21">
        <f t="shared" si="2"/>
        <v>0.87507753641320229</v>
      </c>
      <c r="I28" s="20">
        <v>458898</v>
      </c>
      <c r="J28" s="20">
        <v>38909</v>
      </c>
      <c r="K28" s="20">
        <v>20047</v>
      </c>
      <c r="L28" s="20">
        <v>543236</v>
      </c>
      <c r="M28" s="20">
        <v>19418</v>
      </c>
      <c r="N28" s="22">
        <f t="shared" si="3"/>
        <v>0.91531354288288458</v>
      </c>
      <c r="O28" s="20">
        <v>205954</v>
      </c>
      <c r="P28" s="20">
        <v>33470</v>
      </c>
      <c r="Q28" s="20">
        <v>12051</v>
      </c>
      <c r="R28" s="20">
        <v>273792</v>
      </c>
      <c r="S28" s="20">
        <v>20047</v>
      </c>
      <c r="T28" s="22">
        <f>(O28+P28)/(Q28+R28-S28)</f>
        <v>0.90078105012867016</v>
      </c>
    </row>
    <row r="29" spans="1:20" x14ac:dyDescent="0.2">
      <c r="A29" s="4">
        <v>27</v>
      </c>
      <c r="B29" s="12" t="s">
        <v>21</v>
      </c>
      <c r="C29" s="8">
        <v>12000000</v>
      </c>
      <c r="D29" s="20">
        <v>0</v>
      </c>
      <c r="E29" s="8">
        <v>581035</v>
      </c>
      <c r="F29" s="8">
        <v>11168981</v>
      </c>
      <c r="G29" s="8">
        <v>421590</v>
      </c>
      <c r="H29" s="21">
        <f t="shared" si="2"/>
        <v>1.0592821986037602</v>
      </c>
      <c r="I29" s="8">
        <v>10653422</v>
      </c>
      <c r="J29" s="20">
        <v>0</v>
      </c>
      <c r="K29" s="20">
        <v>445405</v>
      </c>
      <c r="L29" s="20">
        <v>10957713</v>
      </c>
      <c r="M29" s="8">
        <v>581035</v>
      </c>
      <c r="N29" s="22">
        <f t="shared" si="3"/>
        <v>0.98441510751673222</v>
      </c>
      <c r="O29" s="8">
        <v>8632920</v>
      </c>
      <c r="P29" s="20">
        <v>0</v>
      </c>
      <c r="Q29" s="8">
        <v>263613</v>
      </c>
      <c r="R29" s="8">
        <v>8823179</v>
      </c>
      <c r="S29" s="8">
        <v>445405</v>
      </c>
      <c r="T29" s="22">
        <f t="shared" si="4"/>
        <v>0.99902018044094076</v>
      </c>
    </row>
    <row r="30" spans="1:20" x14ac:dyDescent="0.2">
      <c r="A30" s="4">
        <v>28</v>
      </c>
      <c r="B30" s="12" t="s">
        <v>22</v>
      </c>
      <c r="C30" s="8">
        <v>1797460</v>
      </c>
      <c r="D30" s="8">
        <v>0</v>
      </c>
      <c r="E30" s="8">
        <v>112054</v>
      </c>
      <c r="F30" s="8">
        <v>1905239</v>
      </c>
      <c r="G30" s="8">
        <v>92402</v>
      </c>
      <c r="H30" s="21">
        <f t="shared" si="2"/>
        <v>0.93379832935994822</v>
      </c>
      <c r="I30" s="8">
        <v>2323038</v>
      </c>
      <c r="J30" s="20">
        <v>142237</v>
      </c>
      <c r="K30" s="8">
        <v>141933</v>
      </c>
      <c r="L30" s="8">
        <v>2428904</v>
      </c>
      <c r="M30" s="8">
        <v>105113</v>
      </c>
      <c r="N30" s="22">
        <f t="shared" si="3"/>
        <v>0.99981790338253596</v>
      </c>
      <c r="O30" s="8">
        <v>2286213</v>
      </c>
      <c r="P30" s="20">
        <v>0</v>
      </c>
      <c r="Q30" s="8">
        <v>65182</v>
      </c>
      <c r="R30" s="8">
        <v>2533671</v>
      </c>
      <c r="S30" s="8">
        <v>141933</v>
      </c>
      <c r="T30" s="22">
        <f t="shared" si="4"/>
        <v>0.93051991924848998</v>
      </c>
    </row>
    <row r="31" spans="1:20" x14ac:dyDescent="0.2">
      <c r="A31" s="4">
        <v>29</v>
      </c>
      <c r="B31" s="12" t="s">
        <v>23</v>
      </c>
      <c r="C31" s="20">
        <v>2837852</v>
      </c>
      <c r="D31" s="20">
        <v>15141</v>
      </c>
      <c r="E31" s="20">
        <v>561457</v>
      </c>
      <c r="F31" s="8">
        <v>2664611</v>
      </c>
      <c r="G31" s="8">
        <v>252336</v>
      </c>
      <c r="H31" s="21">
        <f t="shared" si="2"/>
        <v>0.95939815692873465</v>
      </c>
      <c r="I31" s="20">
        <v>2992912</v>
      </c>
      <c r="J31" s="20">
        <v>1115</v>
      </c>
      <c r="K31" s="20">
        <v>414700</v>
      </c>
      <c r="L31" s="8">
        <v>3471945</v>
      </c>
      <c r="M31" s="8">
        <v>561457</v>
      </c>
      <c r="N31" s="22">
        <f t="shared" si="3"/>
        <v>0.90040833781428298</v>
      </c>
      <c r="O31" s="20">
        <v>3827393</v>
      </c>
      <c r="P31" s="20">
        <v>5307</v>
      </c>
      <c r="Q31" s="20">
        <v>722897</v>
      </c>
      <c r="R31" s="20">
        <v>3824803</v>
      </c>
      <c r="S31" s="8">
        <v>414700</v>
      </c>
      <c r="T31" s="22">
        <f t="shared" si="4"/>
        <v>0.92734091458988632</v>
      </c>
    </row>
    <row r="32" spans="1:20" x14ac:dyDescent="0.2">
      <c r="A32" s="4">
        <v>30</v>
      </c>
      <c r="B32" s="12" t="s">
        <v>24</v>
      </c>
      <c r="C32" s="20">
        <v>109034</v>
      </c>
      <c r="D32" s="20">
        <v>895</v>
      </c>
      <c r="E32" s="20">
        <v>7839</v>
      </c>
      <c r="F32" s="20">
        <v>125163</v>
      </c>
      <c r="G32" s="20">
        <v>9892</v>
      </c>
      <c r="H32" s="21">
        <f t="shared" si="2"/>
        <v>0.89293314921614819</v>
      </c>
      <c r="I32" s="20">
        <v>91779</v>
      </c>
      <c r="J32" s="20">
        <v>6628</v>
      </c>
      <c r="K32" s="20">
        <v>8679</v>
      </c>
      <c r="L32" s="20">
        <v>90939</v>
      </c>
      <c r="M32" s="20">
        <v>7839</v>
      </c>
      <c r="N32" s="22">
        <f t="shared" si="3"/>
        <v>1.0722169559485286</v>
      </c>
      <c r="O32" s="20">
        <v>74482</v>
      </c>
      <c r="P32" s="20">
        <v>0</v>
      </c>
      <c r="Q32" s="20">
        <v>8394</v>
      </c>
      <c r="R32" s="20">
        <v>74767</v>
      </c>
      <c r="S32" s="20">
        <v>8679</v>
      </c>
      <c r="T32" s="22">
        <f t="shared" si="4"/>
        <v>1</v>
      </c>
    </row>
    <row r="33" spans="1:20" x14ac:dyDescent="0.2">
      <c r="A33" s="4">
        <v>31</v>
      </c>
      <c r="B33" s="12" t="s">
        <v>25</v>
      </c>
      <c r="C33" s="20">
        <v>55576</v>
      </c>
      <c r="D33" s="20">
        <v>6221</v>
      </c>
      <c r="E33" s="20">
        <v>4514</v>
      </c>
      <c r="F33" s="20">
        <v>63347</v>
      </c>
      <c r="G33" s="20">
        <v>2732</v>
      </c>
      <c r="H33" s="21">
        <f t="shared" si="2"/>
        <v>0.94883999447250844</v>
      </c>
      <c r="I33" s="20">
        <v>44594</v>
      </c>
      <c r="J33" s="20">
        <v>0</v>
      </c>
      <c r="K33" s="20">
        <v>1391</v>
      </c>
      <c r="L33" s="20">
        <v>52827</v>
      </c>
      <c r="M33" s="20">
        <v>4514</v>
      </c>
      <c r="N33" s="22">
        <f t="shared" si="3"/>
        <v>0.89719137292773221</v>
      </c>
      <c r="O33" s="20">
        <v>57900</v>
      </c>
      <c r="P33" s="20">
        <v>0</v>
      </c>
      <c r="Q33" s="20">
        <v>1424</v>
      </c>
      <c r="R33" s="20">
        <v>61458</v>
      </c>
      <c r="S33" s="20">
        <v>1227</v>
      </c>
      <c r="T33" s="22">
        <f t="shared" si="4"/>
        <v>0.93909658584056444</v>
      </c>
    </row>
    <row r="36" spans="1:20" x14ac:dyDescent="0.2">
      <c r="C36" s="26"/>
      <c r="D36" s="26"/>
    </row>
    <row r="38" spans="1:20" x14ac:dyDescent="0.2">
      <c r="E38">
        <v>453315</v>
      </c>
    </row>
    <row r="39" spans="1:20" x14ac:dyDescent="0.2">
      <c r="E39">
        <v>19984</v>
      </c>
    </row>
    <row r="40" spans="1:20" x14ac:dyDescent="0.2">
      <c r="E40">
        <f>E38+E39</f>
        <v>473299</v>
      </c>
    </row>
  </sheetData>
  <mergeCells count="3">
    <mergeCell ref="C1:H1"/>
    <mergeCell ref="I1:N1"/>
    <mergeCell ref="O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5EA4-80F2-42E3-BB2A-B130CFE38E49}">
  <dimension ref="A1:T33"/>
  <sheetViews>
    <sheetView zoomScale="80" zoomScaleNormal="80" workbookViewId="0">
      <selection activeCell="H16" sqref="H16"/>
    </sheetView>
  </sheetViews>
  <sheetFormatPr baseColWidth="10" defaultColWidth="8.83203125" defaultRowHeight="16" x14ac:dyDescent="0.2"/>
  <cols>
    <col min="1" max="1" width="4.6640625" bestFit="1" customWidth="1"/>
    <col min="2" max="2" width="49.33203125" bestFit="1" customWidth="1"/>
    <col min="3" max="3" width="26.6640625" bestFit="1" customWidth="1"/>
    <col min="4" max="4" width="12.6640625" bestFit="1" customWidth="1"/>
    <col min="5" max="5" width="33.83203125" bestFit="1" customWidth="1"/>
    <col min="6" max="6" width="27.83203125" bestFit="1" customWidth="1"/>
    <col min="7" max="7" width="26.1640625" bestFit="1" customWidth="1"/>
    <col min="8" max="8" width="20.1640625" bestFit="1" customWidth="1"/>
    <col min="9" max="9" width="26.6640625" bestFit="1" customWidth="1"/>
    <col min="10" max="10" width="12.6640625" bestFit="1" customWidth="1"/>
    <col min="11" max="11" width="33.83203125" bestFit="1" customWidth="1"/>
    <col min="12" max="12" width="27.83203125" bestFit="1" customWidth="1"/>
    <col min="13" max="13" width="26.1640625" bestFit="1" customWidth="1"/>
    <col min="14" max="14" width="20.1640625" bestFit="1" customWidth="1"/>
    <col min="15" max="15" width="26.6640625" bestFit="1" customWidth="1"/>
    <col min="16" max="16" width="12.6640625" bestFit="1" customWidth="1"/>
    <col min="17" max="17" width="33.83203125" bestFit="1" customWidth="1"/>
    <col min="18" max="18" width="27.83203125" bestFit="1" customWidth="1"/>
    <col min="19" max="19" width="26.1640625" bestFit="1" customWidth="1"/>
    <col min="20" max="20" width="20.1640625" bestFit="1" customWidth="1"/>
  </cols>
  <sheetData>
    <row r="1" spans="1:20" x14ac:dyDescent="0.2">
      <c r="A1" s="8"/>
      <c r="B1" s="8"/>
      <c r="C1" s="39" t="s">
        <v>106</v>
      </c>
      <c r="D1" s="39"/>
      <c r="E1" s="39"/>
      <c r="F1" s="39"/>
      <c r="G1" s="39"/>
      <c r="H1" s="39"/>
      <c r="I1" s="39" t="s">
        <v>107</v>
      </c>
      <c r="J1" s="39"/>
      <c r="K1" s="39"/>
      <c r="L1" s="39"/>
      <c r="M1" s="39"/>
      <c r="N1" s="39"/>
      <c r="O1" s="39" t="s">
        <v>108</v>
      </c>
      <c r="P1" s="39"/>
      <c r="Q1" s="39"/>
      <c r="R1" s="39"/>
      <c r="S1" s="39"/>
      <c r="T1" s="39"/>
    </row>
    <row r="2" spans="1:20" x14ac:dyDescent="0.2">
      <c r="A2" s="5" t="s">
        <v>30</v>
      </c>
      <c r="B2" s="5" t="s">
        <v>31</v>
      </c>
      <c r="C2" s="8" t="s">
        <v>109</v>
      </c>
      <c r="D2" s="8" t="s">
        <v>110</v>
      </c>
      <c r="E2" s="8" t="s">
        <v>111</v>
      </c>
      <c r="F2" s="8" t="s">
        <v>112</v>
      </c>
      <c r="G2" s="8" t="s">
        <v>113</v>
      </c>
      <c r="H2" s="9" t="s">
        <v>114</v>
      </c>
      <c r="I2" s="8" t="s">
        <v>109</v>
      </c>
      <c r="J2" s="8" t="s">
        <v>110</v>
      </c>
      <c r="K2" s="8" t="s">
        <v>111</v>
      </c>
      <c r="L2" s="8" t="s">
        <v>112</v>
      </c>
      <c r="M2" s="8" t="s">
        <v>113</v>
      </c>
      <c r="N2" s="9" t="s">
        <v>114</v>
      </c>
      <c r="O2" s="8" t="s">
        <v>109</v>
      </c>
      <c r="P2" s="8" t="s">
        <v>110</v>
      </c>
      <c r="Q2" s="8" t="s">
        <v>111</v>
      </c>
      <c r="R2" s="8" t="s">
        <v>112</v>
      </c>
      <c r="S2" s="8" t="s">
        <v>113</v>
      </c>
      <c r="T2" s="9" t="s">
        <v>114</v>
      </c>
    </row>
    <row r="3" spans="1:20" x14ac:dyDescent="0.2">
      <c r="A3" s="1">
        <v>1</v>
      </c>
      <c r="B3" s="12" t="s">
        <v>26</v>
      </c>
      <c r="C3" s="20">
        <v>264113</v>
      </c>
      <c r="D3" s="20">
        <v>0</v>
      </c>
      <c r="E3" s="20">
        <v>11670</v>
      </c>
      <c r="F3" s="20">
        <v>323616</v>
      </c>
      <c r="G3" s="20">
        <v>12979</v>
      </c>
      <c r="H3" s="21">
        <f>(C3+D3)/(E3+F3-G3)</f>
        <v>0.8194454355629881</v>
      </c>
      <c r="I3" s="20">
        <v>196914</v>
      </c>
      <c r="J3" s="20">
        <v>0</v>
      </c>
      <c r="K3" s="20">
        <v>10939</v>
      </c>
      <c r="L3" s="20">
        <v>260838</v>
      </c>
      <c r="M3" s="20">
        <v>11670</v>
      </c>
      <c r="N3" s="22">
        <f>(I3+J3)/(K3+L3-M3)</f>
        <v>0.75704998327611328</v>
      </c>
      <c r="O3" s="20">
        <v>125232</v>
      </c>
      <c r="P3" s="20">
        <v>0</v>
      </c>
      <c r="Q3" s="20">
        <v>4555</v>
      </c>
      <c r="R3" s="20">
        <v>173265</v>
      </c>
      <c r="S3" s="20">
        <v>10939</v>
      </c>
      <c r="T3" s="22">
        <f>(O3+P3)/(Q3+R3-S3)</f>
        <v>0.7504269509410898</v>
      </c>
    </row>
    <row r="4" spans="1:20" x14ac:dyDescent="0.2">
      <c r="A4" s="1">
        <v>2</v>
      </c>
      <c r="B4" s="12" t="s">
        <v>1</v>
      </c>
      <c r="C4" s="20">
        <v>494666</v>
      </c>
      <c r="D4" s="20">
        <v>0</v>
      </c>
      <c r="E4" s="20">
        <v>29869</v>
      </c>
      <c r="F4" s="8">
        <v>540677</v>
      </c>
      <c r="G4" s="20">
        <v>33501</v>
      </c>
      <c r="H4" s="21">
        <f>(C4+D4)/(E4+F4-G4)</f>
        <v>0.92108854937668161</v>
      </c>
      <c r="I4" s="20">
        <v>348201</v>
      </c>
      <c r="J4" s="20">
        <v>0</v>
      </c>
      <c r="K4" s="20">
        <v>25641</v>
      </c>
      <c r="L4" s="8">
        <v>407654</v>
      </c>
      <c r="M4" s="20">
        <v>29869</v>
      </c>
      <c r="N4" s="22">
        <f>(I4+J4)/(K4+L4-M4)</f>
        <v>0.8631099631654876</v>
      </c>
      <c r="O4" s="20">
        <v>245115</v>
      </c>
      <c r="P4" s="20">
        <v>0</v>
      </c>
      <c r="Q4" s="20">
        <v>21655</v>
      </c>
      <c r="R4" s="8">
        <v>351860</v>
      </c>
      <c r="S4" s="20">
        <v>25641</v>
      </c>
      <c r="T4" s="22">
        <f>(O4+P4)/(Q4+R4-S4)</f>
        <v>0.7046085651701478</v>
      </c>
    </row>
    <row r="5" spans="1:20" x14ac:dyDescent="0.2">
      <c r="A5" s="1">
        <v>3</v>
      </c>
      <c r="B5" s="12" t="s">
        <v>0</v>
      </c>
      <c r="C5" s="20">
        <v>117414</v>
      </c>
      <c r="D5" s="20">
        <v>0</v>
      </c>
      <c r="E5" s="20">
        <v>3232</v>
      </c>
      <c r="F5" s="20">
        <v>174813</v>
      </c>
      <c r="G5" s="20">
        <v>3995</v>
      </c>
      <c r="H5" s="21">
        <f>(C5+D5)/(E5+F5-G5)</f>
        <v>0.67459925308819302</v>
      </c>
      <c r="I5" s="20">
        <v>92436</v>
      </c>
      <c r="J5" s="20">
        <v>0</v>
      </c>
      <c r="K5" s="20">
        <v>4112</v>
      </c>
      <c r="L5" s="20">
        <v>163761</v>
      </c>
      <c r="M5" s="20">
        <v>3947</v>
      </c>
      <c r="N5" s="22">
        <f>(I5+J5)/(K5+L5-M5)</f>
        <v>0.56388858387321106</v>
      </c>
      <c r="O5" s="20">
        <v>69647</v>
      </c>
      <c r="P5" s="20">
        <v>0</v>
      </c>
      <c r="Q5" s="20">
        <v>2639</v>
      </c>
      <c r="R5" s="20">
        <v>122955</v>
      </c>
      <c r="S5" s="20">
        <v>4112</v>
      </c>
      <c r="T5" s="22">
        <f>(O5+P5)/(Q5+R5-S5)</f>
        <v>0.57331127245188584</v>
      </c>
    </row>
    <row r="6" spans="1:20" x14ac:dyDescent="0.2">
      <c r="A6" s="1">
        <v>4</v>
      </c>
      <c r="B6" s="12" t="s">
        <v>27</v>
      </c>
      <c r="C6" s="20">
        <v>332916</v>
      </c>
      <c r="D6" s="20">
        <v>40253</v>
      </c>
      <c r="E6" s="20">
        <v>12938</v>
      </c>
      <c r="F6" s="20">
        <v>441354</v>
      </c>
      <c r="G6" s="20">
        <v>18243</v>
      </c>
      <c r="H6" s="21">
        <f>(C6+D6)/(E6+F6-G6)</f>
        <v>0.85579602292402923</v>
      </c>
      <c r="I6" s="20">
        <v>251290</v>
      </c>
      <c r="J6" s="20">
        <v>40253</v>
      </c>
      <c r="K6" s="20">
        <v>7652</v>
      </c>
      <c r="L6" s="20">
        <v>351592</v>
      </c>
      <c r="M6" s="20">
        <v>12938</v>
      </c>
      <c r="N6" s="22">
        <f>(I6+J6)/(K6+L6-M6)</f>
        <v>0.84186528676950445</v>
      </c>
      <c r="O6" s="20">
        <v>156317</v>
      </c>
      <c r="P6" s="20">
        <v>0</v>
      </c>
      <c r="Q6" s="20">
        <v>4978</v>
      </c>
      <c r="R6" s="20">
        <v>228532</v>
      </c>
      <c r="S6" s="20">
        <v>7652</v>
      </c>
      <c r="T6" s="22">
        <f>(O6+P6)/(Q6+R6-S6)</f>
        <v>0.69210300277165293</v>
      </c>
    </row>
    <row r="7" spans="1:20" x14ac:dyDescent="0.2">
      <c r="A7" s="3">
        <v>5</v>
      </c>
      <c r="B7" s="12" t="s">
        <v>28</v>
      </c>
      <c r="C7" s="20">
        <v>1114890</v>
      </c>
      <c r="D7" s="20">
        <v>0</v>
      </c>
      <c r="E7" s="20">
        <v>18772</v>
      </c>
      <c r="F7" s="20">
        <v>1329911</v>
      </c>
      <c r="G7" s="20">
        <v>28491</v>
      </c>
      <c r="H7" s="21">
        <f>(C7+D7)/(E7+F7-G7)</f>
        <v>0.84449080133798715</v>
      </c>
      <c r="I7" s="20">
        <v>939114</v>
      </c>
      <c r="J7" s="20">
        <v>0</v>
      </c>
      <c r="K7" s="20">
        <v>55263</v>
      </c>
      <c r="L7" s="20">
        <v>1357154</v>
      </c>
      <c r="M7" s="20">
        <v>18772</v>
      </c>
      <c r="N7" s="22">
        <f>(I7+J7)/(K7+L7-M7)</f>
        <v>0.67385453253877425</v>
      </c>
      <c r="O7" s="20">
        <v>778138</v>
      </c>
      <c r="P7" s="20">
        <v>353668</v>
      </c>
      <c r="Q7" s="20">
        <v>60527</v>
      </c>
      <c r="R7" s="20">
        <v>1382237</v>
      </c>
      <c r="S7" s="20">
        <v>55263</v>
      </c>
      <c r="T7" s="22">
        <f>(O7+P7)/(Q7+R7-S7)</f>
        <v>0.81571544813301033</v>
      </c>
    </row>
    <row r="8" spans="1:20" x14ac:dyDescent="0.2">
      <c r="A8" s="3">
        <v>6</v>
      </c>
      <c r="B8" s="12" t="s">
        <v>58</v>
      </c>
      <c r="C8" s="20" t="s">
        <v>84</v>
      </c>
      <c r="D8" s="20" t="s">
        <v>84</v>
      </c>
      <c r="E8" s="20" t="s">
        <v>84</v>
      </c>
      <c r="F8" s="20" t="s">
        <v>84</v>
      </c>
      <c r="G8" s="20" t="s">
        <v>84</v>
      </c>
      <c r="H8" s="23" t="s">
        <v>84</v>
      </c>
      <c r="I8" s="20" t="s">
        <v>84</v>
      </c>
      <c r="J8" s="20" t="s">
        <v>84</v>
      </c>
      <c r="K8" s="20" t="s">
        <v>84</v>
      </c>
      <c r="L8" s="20" t="s">
        <v>84</v>
      </c>
      <c r="M8" s="20" t="s">
        <v>84</v>
      </c>
      <c r="N8" s="23" t="s">
        <v>84</v>
      </c>
      <c r="O8" s="20" t="s">
        <v>84</v>
      </c>
      <c r="P8" s="20" t="s">
        <v>84</v>
      </c>
      <c r="Q8" s="20" t="s">
        <v>84</v>
      </c>
      <c r="R8" s="20" t="s">
        <v>84</v>
      </c>
      <c r="S8" s="20" t="s">
        <v>84</v>
      </c>
      <c r="T8" s="23" t="s">
        <v>84</v>
      </c>
    </row>
    <row r="9" spans="1:20" x14ac:dyDescent="0.2">
      <c r="A9" s="3">
        <v>7</v>
      </c>
      <c r="B9" s="12" t="s">
        <v>2</v>
      </c>
      <c r="C9" s="20" t="s">
        <v>84</v>
      </c>
      <c r="D9" s="20" t="s">
        <v>84</v>
      </c>
      <c r="E9" s="20" t="s">
        <v>84</v>
      </c>
      <c r="F9" s="20" t="s">
        <v>84</v>
      </c>
      <c r="G9" s="20" t="s">
        <v>84</v>
      </c>
      <c r="H9" s="23" t="s">
        <v>84</v>
      </c>
      <c r="I9" s="20" t="s">
        <v>84</v>
      </c>
      <c r="J9" s="20" t="s">
        <v>84</v>
      </c>
      <c r="K9" s="20" t="s">
        <v>84</v>
      </c>
      <c r="L9" s="20" t="s">
        <v>84</v>
      </c>
      <c r="M9" s="20" t="s">
        <v>84</v>
      </c>
      <c r="N9" s="23" t="s">
        <v>84</v>
      </c>
      <c r="O9" s="20" t="s">
        <v>84</v>
      </c>
      <c r="P9" s="20" t="s">
        <v>84</v>
      </c>
      <c r="Q9" s="20" t="s">
        <v>84</v>
      </c>
      <c r="R9" s="20" t="s">
        <v>84</v>
      </c>
      <c r="S9" s="20" t="s">
        <v>84</v>
      </c>
      <c r="T9" s="23" t="s">
        <v>84</v>
      </c>
    </row>
    <row r="10" spans="1:20" x14ac:dyDescent="0.2">
      <c r="A10" s="4">
        <v>8</v>
      </c>
      <c r="B10" s="12" t="s">
        <v>3</v>
      </c>
      <c r="C10" s="20">
        <v>76560</v>
      </c>
      <c r="D10" s="24">
        <v>0</v>
      </c>
      <c r="E10" s="20">
        <v>3022</v>
      </c>
      <c r="F10" s="20">
        <v>91530</v>
      </c>
      <c r="G10" s="20">
        <v>4376</v>
      </c>
      <c r="H10" s="21">
        <f t="shared" ref="H10:H18" si="0">(C10+D10)/(E10+F10-G10)</f>
        <v>0.84900638750887159</v>
      </c>
      <c r="I10" s="25">
        <v>55878.8</v>
      </c>
      <c r="J10" s="20">
        <v>0</v>
      </c>
      <c r="K10" s="25">
        <v>3459.73</v>
      </c>
      <c r="L10" s="25">
        <v>67162.070000000007</v>
      </c>
      <c r="M10" s="25">
        <v>3022.05</v>
      </c>
      <c r="N10" s="22">
        <f t="shared" ref="N10:N18" si="1">(I10+J10)/(K10+L10-M10)</f>
        <v>0.82661252445460232</v>
      </c>
      <c r="O10" s="20">
        <v>45739</v>
      </c>
      <c r="P10" s="20">
        <v>3344</v>
      </c>
      <c r="Q10" s="20">
        <v>1999</v>
      </c>
      <c r="R10" s="20">
        <v>63427</v>
      </c>
      <c r="S10" s="20">
        <v>3460</v>
      </c>
      <c r="T10" s="22">
        <f>(O10+P10)/(Q10+R10-S10)</f>
        <v>0.79209566536487752</v>
      </c>
    </row>
    <row r="11" spans="1:20" x14ac:dyDescent="0.2">
      <c r="A11" s="4">
        <v>9</v>
      </c>
      <c r="B11" s="12" t="s">
        <v>4</v>
      </c>
      <c r="C11" s="8">
        <v>607551</v>
      </c>
      <c r="D11" s="20">
        <v>31279</v>
      </c>
      <c r="E11" s="20">
        <v>73484</v>
      </c>
      <c r="F11" s="8">
        <v>714969</v>
      </c>
      <c r="G11" s="8">
        <v>126511</v>
      </c>
      <c r="H11" s="21">
        <f t="shared" si="0"/>
        <v>0.96508455423586958</v>
      </c>
      <c r="I11" s="8">
        <v>422061</v>
      </c>
      <c r="J11" s="20">
        <v>24510</v>
      </c>
      <c r="K11" s="20">
        <v>24645</v>
      </c>
      <c r="L11" s="8">
        <v>513319</v>
      </c>
      <c r="M11" s="8">
        <v>73484</v>
      </c>
      <c r="N11" s="22">
        <f t="shared" si="1"/>
        <v>0.96144290389252496</v>
      </c>
      <c r="O11" s="8">
        <v>249122.13</v>
      </c>
      <c r="P11" s="20">
        <v>15566.46</v>
      </c>
      <c r="Q11" s="8">
        <v>46429.36</v>
      </c>
      <c r="R11" s="8">
        <f>249910.25+7840.2</f>
        <v>257750.45</v>
      </c>
      <c r="S11" s="8">
        <v>24644.63</v>
      </c>
      <c r="T11" s="22">
        <f>(O11+P11)/(Q11+R11-S11)</f>
        <v>0.94688829506182381</v>
      </c>
    </row>
    <row r="12" spans="1:20" x14ac:dyDescent="0.2">
      <c r="A12" s="4">
        <v>10</v>
      </c>
      <c r="B12" s="12" t="s">
        <v>5</v>
      </c>
      <c r="C12" s="8">
        <v>75060</v>
      </c>
      <c r="D12" s="20">
        <v>1795</v>
      </c>
      <c r="E12" s="8">
        <v>8590</v>
      </c>
      <c r="F12" s="8">
        <v>100543</v>
      </c>
      <c r="G12" s="8">
        <v>12277</v>
      </c>
      <c r="H12" s="21">
        <f t="shared" si="0"/>
        <v>0.79349756339307842</v>
      </c>
      <c r="I12" s="8">
        <v>55477</v>
      </c>
      <c r="J12" s="20">
        <v>2772</v>
      </c>
      <c r="K12" s="8">
        <v>6909</v>
      </c>
      <c r="L12" s="8">
        <v>75553</v>
      </c>
      <c r="M12" s="8">
        <v>8590</v>
      </c>
      <c r="N12" s="22">
        <f t="shared" si="1"/>
        <v>0.78851256226987221</v>
      </c>
      <c r="O12" s="8">
        <v>47402</v>
      </c>
      <c r="P12" s="20">
        <v>1885</v>
      </c>
      <c r="Q12" s="8">
        <v>6131</v>
      </c>
      <c r="R12" s="8">
        <v>66750</v>
      </c>
      <c r="S12" s="8">
        <v>6909</v>
      </c>
      <c r="T12" s="22">
        <f>(O12+P12)/(Q12+R12-S12)</f>
        <v>0.74708967440732432</v>
      </c>
    </row>
    <row r="13" spans="1:20" x14ac:dyDescent="0.2">
      <c r="A13" s="4">
        <v>11</v>
      </c>
      <c r="B13" s="12" t="s">
        <v>6</v>
      </c>
      <c r="C13" s="20">
        <v>154225</v>
      </c>
      <c r="D13" s="20">
        <v>0</v>
      </c>
      <c r="E13" s="20">
        <v>7674</v>
      </c>
      <c r="F13" s="20">
        <v>239109</v>
      </c>
      <c r="G13" s="20">
        <v>13062</v>
      </c>
      <c r="H13" s="21">
        <f t="shared" si="0"/>
        <v>0.659867962228469</v>
      </c>
      <c r="I13" s="20">
        <v>100999</v>
      </c>
      <c r="J13" s="20">
        <v>0</v>
      </c>
      <c r="K13" s="20">
        <v>7674</v>
      </c>
      <c r="L13" s="20">
        <v>139511</v>
      </c>
      <c r="M13" s="20">
        <v>7674</v>
      </c>
      <c r="N13" s="22">
        <f t="shared" si="1"/>
        <v>0.72395008278917072</v>
      </c>
      <c r="O13" s="20" t="s">
        <v>84</v>
      </c>
      <c r="P13" s="20" t="s">
        <v>84</v>
      </c>
      <c r="Q13" s="20" t="s">
        <v>84</v>
      </c>
      <c r="R13" s="20" t="s">
        <v>84</v>
      </c>
      <c r="S13" s="20" t="s">
        <v>84</v>
      </c>
      <c r="T13" s="20" t="s">
        <v>84</v>
      </c>
    </row>
    <row r="14" spans="1:20" x14ac:dyDescent="0.2">
      <c r="A14" s="4">
        <v>12</v>
      </c>
      <c r="B14" s="12" t="s">
        <v>11</v>
      </c>
      <c r="C14" s="20">
        <v>137330</v>
      </c>
      <c r="D14" s="20">
        <v>31572</v>
      </c>
      <c r="E14" s="20">
        <v>8457</v>
      </c>
      <c r="F14" s="8">
        <v>180035</v>
      </c>
      <c r="G14" s="8">
        <v>16625</v>
      </c>
      <c r="H14" s="21">
        <f t="shared" si="0"/>
        <v>0.98274828792031044</v>
      </c>
      <c r="I14" s="20">
        <v>114528</v>
      </c>
      <c r="J14" s="20">
        <v>22432</v>
      </c>
      <c r="K14" s="20">
        <v>3707</v>
      </c>
      <c r="L14" s="8">
        <v>143689</v>
      </c>
      <c r="M14" s="20">
        <v>8457</v>
      </c>
      <c r="N14" s="22">
        <f t="shared" si="1"/>
        <v>0.9857563391128481</v>
      </c>
      <c r="O14" s="20">
        <v>51164</v>
      </c>
      <c r="P14" s="20">
        <v>9758</v>
      </c>
      <c r="Q14" s="20">
        <v>1816</v>
      </c>
      <c r="R14" s="8">
        <v>63198</v>
      </c>
      <c r="S14" s="8">
        <v>3707</v>
      </c>
      <c r="T14" s="22">
        <f>(O14+P14)/(Q14+R14-S14)</f>
        <v>0.99372012983835456</v>
      </c>
    </row>
    <row r="15" spans="1:20" x14ac:dyDescent="0.2">
      <c r="A15" s="4">
        <v>13</v>
      </c>
      <c r="B15" s="12" t="s">
        <v>9</v>
      </c>
      <c r="C15" s="20">
        <v>463729</v>
      </c>
      <c r="D15" s="20">
        <v>67337</v>
      </c>
      <c r="E15" s="20">
        <v>21595</v>
      </c>
      <c r="F15" s="20">
        <v>604224</v>
      </c>
      <c r="G15" s="20">
        <v>24274</v>
      </c>
      <c r="H15" s="21">
        <f>(C15+D15)/(E15+F15-G15)</f>
        <v>0.88283669550906418</v>
      </c>
      <c r="I15" s="20">
        <v>425370</v>
      </c>
      <c r="J15" s="20">
        <v>88697</v>
      </c>
      <c r="K15" s="20">
        <v>19824</v>
      </c>
      <c r="L15" s="20">
        <v>532621</v>
      </c>
      <c r="M15" s="20">
        <v>21595</v>
      </c>
      <c r="N15" s="22">
        <f t="shared" si="1"/>
        <v>0.96838466610153529</v>
      </c>
      <c r="O15" s="20">
        <v>382639</v>
      </c>
      <c r="P15" s="20">
        <v>121118</v>
      </c>
      <c r="Q15" s="20">
        <v>21148</v>
      </c>
      <c r="R15" s="20">
        <v>532816</v>
      </c>
      <c r="S15" s="20">
        <v>19824</v>
      </c>
      <c r="T15" s="22">
        <f>(O15+P15)/(Q15+R15-S15)</f>
        <v>0.94311790916239191</v>
      </c>
    </row>
    <row r="16" spans="1:20" x14ac:dyDescent="0.2">
      <c r="A16" s="4">
        <v>14</v>
      </c>
      <c r="B16" s="12" t="s">
        <v>10</v>
      </c>
      <c r="C16" s="20">
        <v>622268</v>
      </c>
      <c r="D16" s="20">
        <v>0</v>
      </c>
      <c r="E16" s="20">
        <v>53702</v>
      </c>
      <c r="F16" s="20">
        <v>939925</v>
      </c>
      <c r="G16" s="20">
        <v>47150</v>
      </c>
      <c r="H16" s="21">
        <f t="shared" si="0"/>
        <v>0.65745707502665152</v>
      </c>
      <c r="I16" s="20">
        <v>472628</v>
      </c>
      <c r="J16" s="20">
        <v>0</v>
      </c>
      <c r="K16" s="20">
        <v>54579</v>
      </c>
      <c r="L16" s="20">
        <v>703554</v>
      </c>
      <c r="M16" s="20">
        <v>53702</v>
      </c>
      <c r="N16" s="22">
        <f t="shared" si="1"/>
        <v>0.67093583331795448</v>
      </c>
      <c r="O16" s="20">
        <v>367502</v>
      </c>
      <c r="P16" s="20">
        <v>0</v>
      </c>
      <c r="Q16" s="20">
        <v>55230</v>
      </c>
      <c r="R16" s="20">
        <v>543837</v>
      </c>
      <c r="S16" s="20">
        <v>54579</v>
      </c>
      <c r="T16" s="22">
        <f>(O16+P16)/(Q16+R16-S16)</f>
        <v>0.67494967749518819</v>
      </c>
    </row>
    <row r="17" spans="1:20" x14ac:dyDescent="0.2">
      <c r="A17" s="4">
        <v>15</v>
      </c>
      <c r="B17" s="12" t="s">
        <v>12</v>
      </c>
      <c r="C17" s="8">
        <v>97978</v>
      </c>
      <c r="D17" s="20">
        <v>0</v>
      </c>
      <c r="E17" s="8">
        <v>26909</v>
      </c>
      <c r="F17" s="8">
        <v>123036</v>
      </c>
      <c r="G17" s="8">
        <v>12491</v>
      </c>
      <c r="H17" s="21">
        <f t="shared" si="0"/>
        <v>0.71280573864711105</v>
      </c>
      <c r="I17" s="8">
        <v>224282.81</v>
      </c>
      <c r="J17" s="20">
        <v>0</v>
      </c>
      <c r="K17" s="8">
        <v>20881.14</v>
      </c>
      <c r="L17" s="8">
        <v>265893.59999999998</v>
      </c>
      <c r="M17" s="8">
        <v>26909.35</v>
      </c>
      <c r="N17" s="22">
        <f t="shared" si="1"/>
        <v>0.86307303177233419</v>
      </c>
      <c r="O17" s="8">
        <v>229455</v>
      </c>
      <c r="P17" s="20">
        <v>0</v>
      </c>
      <c r="Q17" s="8">
        <v>10256</v>
      </c>
      <c r="R17" s="8">
        <v>278508</v>
      </c>
      <c r="S17" s="8">
        <v>20881</v>
      </c>
      <c r="T17" s="22">
        <f>(O17+P17)/(Q17+R17-S17)</f>
        <v>0.85654931443951277</v>
      </c>
    </row>
    <row r="18" spans="1:20" x14ac:dyDescent="0.2">
      <c r="A18" s="4">
        <v>16</v>
      </c>
      <c r="B18" s="12" t="s">
        <v>13</v>
      </c>
      <c r="C18" s="8">
        <v>51330</v>
      </c>
      <c r="D18" s="20">
        <v>0</v>
      </c>
      <c r="E18" s="20">
        <v>2540</v>
      </c>
      <c r="F18" s="20">
        <v>56097</v>
      </c>
      <c r="G18" s="20">
        <v>3185</v>
      </c>
      <c r="H18" s="21">
        <f t="shared" si="0"/>
        <v>0.92566544038086995</v>
      </c>
      <c r="I18" s="8">
        <v>39606</v>
      </c>
      <c r="J18" s="20">
        <v>0</v>
      </c>
      <c r="K18" s="20">
        <v>2900</v>
      </c>
      <c r="L18" s="8">
        <v>44206</v>
      </c>
      <c r="M18" s="20">
        <v>2540</v>
      </c>
      <c r="N18" s="22">
        <f t="shared" si="1"/>
        <v>0.8887043934838218</v>
      </c>
      <c r="O18" s="8">
        <v>21275</v>
      </c>
      <c r="P18" s="20">
        <v>0</v>
      </c>
      <c r="Q18" s="20">
        <v>1775</v>
      </c>
      <c r="R18" s="8">
        <v>24458</v>
      </c>
      <c r="S18" s="20">
        <v>2900</v>
      </c>
      <c r="T18" s="22">
        <f>(O18+P18)/(Q18+R18-S18)</f>
        <v>0.91179873998199978</v>
      </c>
    </row>
    <row r="19" spans="1:20" x14ac:dyDescent="0.2">
      <c r="A19" s="4">
        <v>17</v>
      </c>
      <c r="B19" s="12" t="s">
        <v>14</v>
      </c>
      <c r="C19" s="20" t="s">
        <v>84</v>
      </c>
      <c r="D19" s="20" t="s">
        <v>84</v>
      </c>
      <c r="E19" s="20" t="s">
        <v>84</v>
      </c>
      <c r="F19" s="20" t="s">
        <v>84</v>
      </c>
      <c r="G19" s="20" t="s">
        <v>84</v>
      </c>
      <c r="H19" s="23" t="s">
        <v>84</v>
      </c>
      <c r="I19" s="20" t="s">
        <v>84</v>
      </c>
      <c r="J19" s="20" t="s">
        <v>84</v>
      </c>
      <c r="K19" s="20" t="s">
        <v>84</v>
      </c>
      <c r="L19" s="20" t="s">
        <v>84</v>
      </c>
      <c r="M19" s="20" t="s">
        <v>84</v>
      </c>
      <c r="N19" s="23" t="s">
        <v>84</v>
      </c>
      <c r="O19" s="20" t="s">
        <v>84</v>
      </c>
      <c r="P19" s="20" t="s">
        <v>84</v>
      </c>
      <c r="Q19" s="20" t="s">
        <v>84</v>
      </c>
      <c r="R19" s="20" t="s">
        <v>84</v>
      </c>
      <c r="S19" s="20" t="s">
        <v>84</v>
      </c>
      <c r="T19" s="23" t="s">
        <v>84</v>
      </c>
    </row>
    <row r="20" spans="1:20" x14ac:dyDescent="0.2">
      <c r="A20" s="4">
        <v>18</v>
      </c>
      <c r="B20" s="12" t="s">
        <v>7</v>
      </c>
      <c r="C20" s="20">
        <v>48027</v>
      </c>
      <c r="D20" s="20">
        <v>1257</v>
      </c>
      <c r="E20" s="20">
        <v>3824</v>
      </c>
      <c r="F20" s="20">
        <v>72552</v>
      </c>
      <c r="G20" s="20">
        <v>6209</v>
      </c>
      <c r="H20" s="21">
        <f t="shared" ref="H20:H33" si="2">(C20+D20)/(E20+F20-G20)</f>
        <v>0.70238146137072988</v>
      </c>
      <c r="I20" s="20">
        <v>29000</v>
      </c>
      <c r="J20" s="20">
        <v>755</v>
      </c>
      <c r="K20" s="20">
        <v>1976</v>
      </c>
      <c r="L20" s="20">
        <v>44229</v>
      </c>
      <c r="M20" s="20">
        <v>3824</v>
      </c>
      <c r="N20" s="22">
        <f t="shared" ref="N20:N33" si="3">(I20+J20)/(K20+L20-M20)</f>
        <v>0.70208348080507776</v>
      </c>
      <c r="O20" s="20">
        <v>10694</v>
      </c>
      <c r="P20" s="20">
        <v>192</v>
      </c>
      <c r="Q20" s="8">
        <v>814</v>
      </c>
      <c r="R20" s="20">
        <v>16277</v>
      </c>
      <c r="S20" s="20">
        <v>1976</v>
      </c>
      <c r="T20" s="22">
        <f t="shared" ref="T20:T33" si="4">(O20+P20)/(Q20+R20-S20)</f>
        <v>0.7202117102216341</v>
      </c>
    </row>
    <row r="21" spans="1:20" x14ac:dyDescent="0.2">
      <c r="A21" s="4">
        <v>19</v>
      </c>
      <c r="B21" s="12" t="s">
        <v>8</v>
      </c>
      <c r="C21" s="20">
        <v>724627</v>
      </c>
      <c r="D21" s="20">
        <v>46595</v>
      </c>
      <c r="E21" s="20">
        <v>106429</v>
      </c>
      <c r="F21" s="20">
        <v>847879</v>
      </c>
      <c r="G21" s="20">
        <v>131124</v>
      </c>
      <c r="H21" s="21">
        <f t="shared" si="2"/>
        <v>0.93687681004489887</v>
      </c>
      <c r="I21" s="20">
        <v>680567</v>
      </c>
      <c r="J21" s="20">
        <v>36572</v>
      </c>
      <c r="K21" s="20">
        <v>95993</v>
      </c>
      <c r="L21" s="20">
        <v>724706</v>
      </c>
      <c r="M21" s="20">
        <v>106429</v>
      </c>
      <c r="N21" s="22">
        <f t="shared" si="3"/>
        <v>1.004016688367144</v>
      </c>
      <c r="O21" s="20">
        <v>675475</v>
      </c>
      <c r="P21" s="20">
        <v>457</v>
      </c>
      <c r="Q21" s="20">
        <v>103713</v>
      </c>
      <c r="R21" s="20">
        <v>681968</v>
      </c>
      <c r="S21" s="20">
        <v>95993</v>
      </c>
      <c r="T21" s="22">
        <f t="shared" si="4"/>
        <v>0.98005474939392889</v>
      </c>
    </row>
    <row r="22" spans="1:20" x14ac:dyDescent="0.2">
      <c r="A22" s="4">
        <v>20</v>
      </c>
      <c r="B22" s="12" t="s">
        <v>15</v>
      </c>
      <c r="C22" s="20">
        <v>5507</v>
      </c>
      <c r="D22" s="20">
        <v>23</v>
      </c>
      <c r="E22" s="8">
        <v>437</v>
      </c>
      <c r="F22" s="20">
        <v>7214</v>
      </c>
      <c r="G22" s="8">
        <v>616</v>
      </c>
      <c r="H22" s="21">
        <f t="shared" si="2"/>
        <v>0.78606965174129351</v>
      </c>
      <c r="I22" s="20">
        <v>3634</v>
      </c>
      <c r="J22" s="20">
        <v>59</v>
      </c>
      <c r="K22" s="8">
        <v>327</v>
      </c>
      <c r="L22" s="20">
        <v>5971</v>
      </c>
      <c r="M22" s="8">
        <v>437</v>
      </c>
      <c r="N22" s="22">
        <f t="shared" si="3"/>
        <v>0.6300972530284934</v>
      </c>
      <c r="O22" s="20">
        <v>2970</v>
      </c>
      <c r="P22" s="20">
        <v>158</v>
      </c>
      <c r="Q22" s="8">
        <v>205</v>
      </c>
      <c r="R22" s="20">
        <v>4810</v>
      </c>
      <c r="S22" s="8">
        <v>327</v>
      </c>
      <c r="T22" s="22">
        <f t="shared" si="4"/>
        <v>0.66723549488054612</v>
      </c>
    </row>
    <row r="23" spans="1:20" x14ac:dyDescent="0.2">
      <c r="A23" s="4">
        <v>21</v>
      </c>
      <c r="B23" s="12" t="s">
        <v>29</v>
      </c>
      <c r="C23" s="25">
        <v>3594.58</v>
      </c>
      <c r="D23" s="20">
        <v>612.99</v>
      </c>
      <c r="E23" s="8">
        <v>201.82</v>
      </c>
      <c r="F23" s="25">
        <v>4254.9800000000005</v>
      </c>
      <c r="G23" s="8">
        <v>221.98</v>
      </c>
      <c r="H23" s="21">
        <f t="shared" si="2"/>
        <v>0.99356525188791944</v>
      </c>
      <c r="I23" s="25">
        <v>1688.77</v>
      </c>
      <c r="J23" s="20">
        <v>317.3</v>
      </c>
      <c r="K23" s="8">
        <v>150.72999999999999</v>
      </c>
      <c r="L23" s="25">
        <v>2404.7600000000002</v>
      </c>
      <c r="M23" s="8">
        <v>201.82</v>
      </c>
      <c r="N23" s="22">
        <f t="shared" si="3"/>
        <v>0.85231574519792486</v>
      </c>
      <c r="O23" s="8">
        <v>933.78</v>
      </c>
      <c r="P23" s="20">
        <v>254.78</v>
      </c>
      <c r="Q23" s="8">
        <v>61.82</v>
      </c>
      <c r="R23" s="8">
        <v>1337.7</v>
      </c>
      <c r="S23" s="8">
        <v>150.72999999999999</v>
      </c>
      <c r="T23" s="22">
        <f t="shared" si="4"/>
        <v>0.95176931269468845</v>
      </c>
    </row>
    <row r="24" spans="1:20" x14ac:dyDescent="0.2">
      <c r="A24" s="4">
        <v>22</v>
      </c>
      <c r="B24" s="12" t="s">
        <v>16</v>
      </c>
      <c r="C24" s="20">
        <v>164289</v>
      </c>
      <c r="D24" s="20">
        <v>16791</v>
      </c>
      <c r="E24" s="20">
        <v>30311</v>
      </c>
      <c r="F24" s="8">
        <v>204228</v>
      </c>
      <c r="G24" s="20">
        <v>30300</v>
      </c>
      <c r="H24" s="21">
        <f t="shared" si="2"/>
        <v>0.88660833631186997</v>
      </c>
      <c r="I24" s="20">
        <v>136276</v>
      </c>
      <c r="J24" s="20">
        <v>17375</v>
      </c>
      <c r="K24" s="20">
        <v>32189</v>
      </c>
      <c r="L24" s="8">
        <v>158396</v>
      </c>
      <c r="M24" s="20">
        <v>30311</v>
      </c>
      <c r="N24" s="22">
        <f t="shared" si="3"/>
        <v>0.95867701561076657</v>
      </c>
      <c r="O24" s="20">
        <v>94522</v>
      </c>
      <c r="P24" s="20">
        <v>14183</v>
      </c>
      <c r="Q24" s="20">
        <v>28276</v>
      </c>
      <c r="R24" s="20">
        <v>112712</v>
      </c>
      <c r="S24" s="20">
        <v>32189</v>
      </c>
      <c r="T24" s="22">
        <f t="shared" si="4"/>
        <v>0.99913602147078562</v>
      </c>
    </row>
    <row r="25" spans="1:20" x14ac:dyDescent="0.2">
      <c r="A25" s="4">
        <v>23</v>
      </c>
      <c r="B25" s="12" t="s">
        <v>17</v>
      </c>
      <c r="C25" s="20">
        <v>68256</v>
      </c>
      <c r="D25" s="20">
        <v>0</v>
      </c>
      <c r="E25" s="20">
        <v>4068</v>
      </c>
      <c r="F25" s="20">
        <v>75801</v>
      </c>
      <c r="G25" s="20">
        <v>5535</v>
      </c>
      <c r="H25" s="21">
        <f t="shared" si="2"/>
        <v>0.91823391718459924</v>
      </c>
      <c r="I25" s="20">
        <v>50215</v>
      </c>
      <c r="J25" s="20">
        <v>2133</v>
      </c>
      <c r="K25" s="20">
        <v>4531</v>
      </c>
      <c r="L25" s="20">
        <v>53921</v>
      </c>
      <c r="M25" s="20">
        <v>4068</v>
      </c>
      <c r="N25" s="22">
        <f t="shared" si="3"/>
        <v>0.96256251838776108</v>
      </c>
      <c r="O25" s="20">
        <v>38815</v>
      </c>
      <c r="P25" s="20">
        <v>2543</v>
      </c>
      <c r="Q25" s="20">
        <v>3495</v>
      </c>
      <c r="R25" s="20">
        <v>44219</v>
      </c>
      <c r="S25" s="20">
        <v>4531</v>
      </c>
      <c r="T25" s="22">
        <f t="shared" si="4"/>
        <v>0.95773799874950793</v>
      </c>
    </row>
    <row r="26" spans="1:20" x14ac:dyDescent="0.2">
      <c r="A26" s="4">
        <v>24</v>
      </c>
      <c r="B26" s="12" t="s">
        <v>18</v>
      </c>
      <c r="C26" s="8">
        <v>293259</v>
      </c>
      <c r="D26" s="20">
        <f>99431+6086</f>
        <v>105517</v>
      </c>
      <c r="E26" s="8">
        <v>45815</v>
      </c>
      <c r="F26" s="20">
        <v>415300</v>
      </c>
      <c r="G26" s="8">
        <v>40384</v>
      </c>
      <c r="H26" s="21">
        <f t="shared" si="2"/>
        <v>0.94781701372135641</v>
      </c>
      <c r="I26" s="8">
        <f>243897+22357</f>
        <v>266254</v>
      </c>
      <c r="J26" s="20">
        <f>8176+635</f>
        <v>8811</v>
      </c>
      <c r="K26" s="8">
        <f>37607+1159</f>
        <v>38766</v>
      </c>
      <c r="L26" s="8">
        <f>256077+27122</f>
        <v>283199</v>
      </c>
      <c r="M26" s="8">
        <f>40527+5288</f>
        <v>45815</v>
      </c>
      <c r="N26" s="22">
        <f t="shared" si="3"/>
        <v>0.99607097591888472</v>
      </c>
      <c r="O26" s="8">
        <f>146615+14512</f>
        <v>161127</v>
      </c>
      <c r="P26" s="20">
        <f>6136+1997</f>
        <v>8133</v>
      </c>
      <c r="Q26" s="8">
        <f>23026+2281</f>
        <v>25307</v>
      </c>
      <c r="R26" s="8">
        <f>168750+15386</f>
        <v>184136</v>
      </c>
      <c r="S26" s="8">
        <f>37607+1159</f>
        <v>38766</v>
      </c>
      <c r="T26" s="22">
        <f t="shared" si="4"/>
        <v>0.99169776829918499</v>
      </c>
    </row>
    <row r="27" spans="1:20" x14ac:dyDescent="0.2">
      <c r="A27" s="4">
        <v>25</v>
      </c>
      <c r="B27" s="12" t="s">
        <v>19</v>
      </c>
      <c r="C27" s="20">
        <v>15425</v>
      </c>
      <c r="D27" s="20">
        <v>0</v>
      </c>
      <c r="E27" s="8">
        <v>670</v>
      </c>
      <c r="F27" s="20">
        <v>10852</v>
      </c>
      <c r="G27" s="20">
        <v>2043</v>
      </c>
      <c r="H27" s="21">
        <f t="shared" si="2"/>
        <v>1.6272813587931216</v>
      </c>
      <c r="I27" s="20">
        <v>1276</v>
      </c>
      <c r="J27" s="20">
        <v>0</v>
      </c>
      <c r="K27" s="8">
        <v>472</v>
      </c>
      <c r="L27" s="20">
        <v>2397</v>
      </c>
      <c r="M27" s="8">
        <v>670</v>
      </c>
      <c r="N27" s="22">
        <f t="shared" si="3"/>
        <v>0.58026375625284221</v>
      </c>
      <c r="O27" s="8">
        <v>586</v>
      </c>
      <c r="P27" s="20">
        <v>0</v>
      </c>
      <c r="Q27" s="8">
        <v>427</v>
      </c>
      <c r="R27" s="20">
        <v>1104</v>
      </c>
      <c r="S27" s="8">
        <v>472</v>
      </c>
      <c r="T27" s="22">
        <f t="shared" si="4"/>
        <v>0.55335221907459864</v>
      </c>
    </row>
    <row r="28" spans="1:20" x14ac:dyDescent="0.2">
      <c r="A28" s="4">
        <v>26</v>
      </c>
      <c r="B28" s="12" t="s">
        <v>20</v>
      </c>
      <c r="C28" s="20">
        <v>275419</v>
      </c>
      <c r="D28" s="20">
        <v>14612</v>
      </c>
      <c r="E28" s="20">
        <v>25306</v>
      </c>
      <c r="F28" s="20">
        <v>278550</v>
      </c>
      <c r="G28" s="20">
        <v>28436</v>
      </c>
      <c r="H28" s="21">
        <f t="shared" si="2"/>
        <v>1.0530498874446301</v>
      </c>
      <c r="I28" s="20">
        <v>262531</v>
      </c>
      <c r="J28" s="20">
        <v>22139</v>
      </c>
      <c r="K28" s="20">
        <v>46208</v>
      </c>
      <c r="L28" s="20">
        <v>241629</v>
      </c>
      <c r="M28" s="20">
        <v>25306</v>
      </c>
      <c r="N28" s="22">
        <f t="shared" si="3"/>
        <v>1.0843290887552328</v>
      </c>
      <c r="O28" s="20">
        <v>170210</v>
      </c>
      <c r="P28" s="20">
        <v>16962</v>
      </c>
      <c r="Q28" s="20">
        <v>18230</v>
      </c>
      <c r="R28" s="20">
        <v>237862</v>
      </c>
      <c r="S28" s="20">
        <v>46208</v>
      </c>
      <c r="T28" s="22">
        <f t="shared" si="4"/>
        <v>0.89178784471422312</v>
      </c>
    </row>
    <row r="29" spans="1:20" x14ac:dyDescent="0.2">
      <c r="A29" s="4">
        <v>27</v>
      </c>
      <c r="B29" s="12" t="s">
        <v>21</v>
      </c>
      <c r="C29" s="8">
        <v>1918891</v>
      </c>
      <c r="D29" s="20">
        <v>0</v>
      </c>
      <c r="E29" s="8">
        <v>127768.4</v>
      </c>
      <c r="F29" s="8">
        <v>1878193.1</v>
      </c>
      <c r="G29" s="8">
        <v>126597.2</v>
      </c>
      <c r="H29" s="21">
        <f t="shared" si="2"/>
        <v>1.0210319521340274</v>
      </c>
      <c r="I29" s="8">
        <v>1852718.4</v>
      </c>
      <c r="J29" s="8">
        <v>0</v>
      </c>
      <c r="K29" s="8">
        <v>118544.81999999999</v>
      </c>
      <c r="L29" s="8">
        <v>1719360.23</v>
      </c>
      <c r="M29" s="8">
        <v>127768.34999999999</v>
      </c>
      <c r="N29" s="22">
        <f t="shared" si="3"/>
        <v>1.0833744460311272</v>
      </c>
      <c r="O29" s="8">
        <v>1707332.19</v>
      </c>
      <c r="P29" s="8">
        <v>0</v>
      </c>
      <c r="Q29" s="8">
        <v>103491.62</v>
      </c>
      <c r="R29" s="25">
        <v>1637665.94</v>
      </c>
      <c r="S29" s="8">
        <v>118544.81999999999</v>
      </c>
      <c r="T29" s="22">
        <f t="shared" si="4"/>
        <v>1.0522117495515289</v>
      </c>
    </row>
    <row r="30" spans="1:20" x14ac:dyDescent="0.2">
      <c r="A30" s="4">
        <v>28</v>
      </c>
      <c r="B30" s="12" t="s">
        <v>22</v>
      </c>
      <c r="C30" s="8">
        <v>934783</v>
      </c>
      <c r="D30" s="8">
        <v>0</v>
      </c>
      <c r="E30" s="8">
        <v>136645</v>
      </c>
      <c r="F30" s="8">
        <v>898797</v>
      </c>
      <c r="G30" s="8">
        <v>193865</v>
      </c>
      <c r="H30" s="21">
        <f t="shared" si="2"/>
        <v>1.1107516008636167</v>
      </c>
      <c r="I30" s="8">
        <v>869640.61</v>
      </c>
      <c r="J30" s="8">
        <v>0</v>
      </c>
      <c r="K30" s="8">
        <v>117425.59</v>
      </c>
      <c r="L30" s="8">
        <v>625282.29</v>
      </c>
      <c r="M30" s="8">
        <v>69514.92</v>
      </c>
      <c r="N30" s="22">
        <f t="shared" si="3"/>
        <v>1.2918147718003468</v>
      </c>
      <c r="O30" s="8">
        <v>889227.5</v>
      </c>
      <c r="P30" s="8">
        <v>0</v>
      </c>
      <c r="Q30" s="8">
        <v>61320.31</v>
      </c>
      <c r="R30" s="8">
        <v>852145.69000000006</v>
      </c>
      <c r="S30" s="8">
        <v>117425.58</v>
      </c>
      <c r="T30" s="22">
        <f t="shared" si="4"/>
        <v>1.1170632516373979</v>
      </c>
    </row>
    <row r="31" spans="1:20" x14ac:dyDescent="0.2">
      <c r="A31" s="4">
        <v>29</v>
      </c>
      <c r="B31" s="12" t="s">
        <v>23</v>
      </c>
      <c r="C31" s="25">
        <v>788927.55</v>
      </c>
      <c r="D31" s="25">
        <v>41419.94</v>
      </c>
      <c r="E31" s="25">
        <v>164085.96</v>
      </c>
      <c r="F31" s="8">
        <v>890796.61</v>
      </c>
      <c r="G31" s="8">
        <v>102471.93</v>
      </c>
      <c r="H31" s="21">
        <f t="shared" si="2"/>
        <v>0.87183768757560276</v>
      </c>
      <c r="I31" s="20">
        <v>823304</v>
      </c>
      <c r="J31" s="20">
        <v>22845</v>
      </c>
      <c r="K31" s="20">
        <v>128038</v>
      </c>
      <c r="L31" s="8">
        <v>1059349</v>
      </c>
      <c r="M31" s="8">
        <v>164086</v>
      </c>
      <c r="N31" s="22">
        <f t="shared" si="3"/>
        <v>0.82688182655934084</v>
      </c>
      <c r="O31" s="20">
        <v>765918</v>
      </c>
      <c r="P31" s="20">
        <v>9232</v>
      </c>
      <c r="Q31" s="20">
        <v>128941</v>
      </c>
      <c r="R31" s="20">
        <v>973105</v>
      </c>
      <c r="S31" s="8">
        <v>128039</v>
      </c>
      <c r="T31" s="22">
        <f t="shared" si="4"/>
        <v>0.79583616955524961</v>
      </c>
    </row>
    <row r="32" spans="1:20" x14ac:dyDescent="0.2">
      <c r="A32" s="4">
        <v>30</v>
      </c>
      <c r="B32" s="12" t="s">
        <v>24</v>
      </c>
      <c r="C32" s="20">
        <v>90900</v>
      </c>
      <c r="D32" s="8">
        <v>5050</v>
      </c>
      <c r="E32" s="20">
        <v>26056</v>
      </c>
      <c r="F32" s="20">
        <v>120923</v>
      </c>
      <c r="G32" s="20">
        <v>19021</v>
      </c>
      <c r="H32" s="21">
        <f t="shared" si="2"/>
        <v>0.7498554213101174</v>
      </c>
      <c r="I32" s="25">
        <v>73131.899999999994</v>
      </c>
      <c r="J32" s="20">
        <v>15678.59</v>
      </c>
      <c r="K32" s="25">
        <v>16970.46</v>
      </c>
      <c r="L32" s="25">
        <v>82217.710000000006</v>
      </c>
      <c r="M32" s="25">
        <v>26056.26</v>
      </c>
      <c r="N32" s="22">
        <f t="shared" si="3"/>
        <v>1.2143876729050282</v>
      </c>
      <c r="O32" s="25">
        <v>78545.679999999993</v>
      </c>
      <c r="P32" s="20">
        <v>0</v>
      </c>
      <c r="Q32" s="25">
        <v>24658.84</v>
      </c>
      <c r="R32" s="25">
        <v>70857.3</v>
      </c>
      <c r="S32" s="25">
        <v>16970.46</v>
      </c>
      <c r="T32" s="22">
        <f t="shared" si="4"/>
        <v>1</v>
      </c>
    </row>
    <row r="33" spans="1:20" x14ac:dyDescent="0.2">
      <c r="A33" s="4">
        <v>31</v>
      </c>
      <c r="B33" s="12" t="s">
        <v>25</v>
      </c>
      <c r="C33" s="25">
        <v>29857.58</v>
      </c>
      <c r="D33" s="20">
        <v>4573.1499999999996</v>
      </c>
      <c r="E33" s="25">
        <v>1744.14</v>
      </c>
      <c r="F33" s="25">
        <v>36971.879999999997</v>
      </c>
      <c r="G33" s="25">
        <v>2045.72</v>
      </c>
      <c r="H33" s="21">
        <f t="shared" si="2"/>
        <v>0.93892686997379371</v>
      </c>
      <c r="I33" s="25">
        <v>16888.46</v>
      </c>
      <c r="J33" s="20">
        <v>0</v>
      </c>
      <c r="K33" s="8">
        <v>963.13</v>
      </c>
      <c r="L33" s="25">
        <v>26357.26</v>
      </c>
      <c r="M33" s="25">
        <v>1744.14</v>
      </c>
      <c r="N33" s="22">
        <f t="shared" si="3"/>
        <v>0.66031806852060015</v>
      </c>
      <c r="O33" s="25">
        <v>12276.28</v>
      </c>
      <c r="P33" s="20">
        <v>0</v>
      </c>
      <c r="Q33" s="8">
        <v>660.33</v>
      </c>
      <c r="R33" s="25">
        <v>18434.78</v>
      </c>
      <c r="S33" s="8">
        <v>958.52</v>
      </c>
      <c r="T33" s="22">
        <f t="shared" si="4"/>
        <v>0.67687917078127702</v>
      </c>
    </row>
  </sheetData>
  <mergeCells count="3">
    <mergeCell ref="C1:H1"/>
    <mergeCell ref="I1:N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05A1-4E99-4940-81A3-A71EEC61332B}">
  <dimension ref="A1:E32"/>
  <sheetViews>
    <sheetView workbookViewId="0"/>
  </sheetViews>
  <sheetFormatPr baseColWidth="10" defaultColWidth="8.83203125" defaultRowHeight="16" x14ac:dyDescent="0.2"/>
  <cols>
    <col min="1" max="1" width="4.6640625" bestFit="1" customWidth="1"/>
    <col min="2" max="2" width="49.33203125" bestFit="1" customWidth="1"/>
    <col min="3" max="4" width="6.83203125" bestFit="1" customWidth="1"/>
    <col min="5" max="5" width="5.83203125" bestFit="1" customWidth="1"/>
  </cols>
  <sheetData>
    <row r="1" spans="1:5" x14ac:dyDescent="0.2">
      <c r="A1" s="5" t="s">
        <v>30</v>
      </c>
      <c r="B1" s="5" t="s">
        <v>31</v>
      </c>
      <c r="C1" s="9" t="s">
        <v>103</v>
      </c>
      <c r="D1" s="10" t="s">
        <v>104</v>
      </c>
      <c r="E1" s="9" t="s">
        <v>105</v>
      </c>
    </row>
    <row r="2" spans="1:5" x14ac:dyDescent="0.2">
      <c r="A2" s="11">
        <v>1</v>
      </c>
      <c r="B2" s="12" t="s">
        <v>26</v>
      </c>
      <c r="C2" s="13">
        <v>16</v>
      </c>
      <c r="D2" s="13">
        <v>22</v>
      </c>
      <c r="E2" s="14">
        <v>18</v>
      </c>
    </row>
    <row r="3" spans="1:5" x14ac:dyDescent="0.2">
      <c r="A3" s="11">
        <v>2</v>
      </c>
      <c r="B3" s="12" t="s">
        <v>1</v>
      </c>
      <c r="C3" s="14">
        <v>47</v>
      </c>
      <c r="D3" s="14">
        <v>39</v>
      </c>
      <c r="E3" s="14">
        <v>40</v>
      </c>
    </row>
    <row r="4" spans="1:5" x14ac:dyDescent="0.2">
      <c r="A4" s="11">
        <v>3</v>
      </c>
      <c r="B4" s="12" t="s">
        <v>0</v>
      </c>
      <c r="C4" s="14">
        <v>25.3</v>
      </c>
      <c r="D4" s="14">
        <v>25.8</v>
      </c>
      <c r="E4" s="14">
        <v>19.399999999999999</v>
      </c>
    </row>
    <row r="5" spans="1:5" x14ac:dyDescent="0.2">
      <c r="A5" s="11">
        <v>4</v>
      </c>
      <c r="B5" s="12" t="s">
        <v>27</v>
      </c>
      <c r="C5" s="14">
        <v>43.44</v>
      </c>
      <c r="D5" s="14">
        <v>38.76</v>
      </c>
      <c r="E5" s="14">
        <v>46.36</v>
      </c>
    </row>
    <row r="6" spans="1:5" x14ac:dyDescent="0.2">
      <c r="A6" s="11">
        <v>5</v>
      </c>
      <c r="B6" s="12" t="s">
        <v>28</v>
      </c>
      <c r="C6" s="14">
        <v>52.3</v>
      </c>
      <c r="D6" s="14">
        <v>55.79</v>
      </c>
      <c r="E6" s="14">
        <v>48.85</v>
      </c>
    </row>
    <row r="7" spans="1:5" x14ac:dyDescent="0.2">
      <c r="A7" s="11">
        <v>6</v>
      </c>
      <c r="B7" s="12" t="s">
        <v>58</v>
      </c>
      <c r="C7" s="14" t="s">
        <v>84</v>
      </c>
      <c r="D7" s="14" t="s">
        <v>84</v>
      </c>
      <c r="E7" s="14" t="s">
        <v>84</v>
      </c>
    </row>
    <row r="8" spans="1:5" x14ac:dyDescent="0.2">
      <c r="A8" s="11">
        <v>7</v>
      </c>
      <c r="B8" s="12" t="s">
        <v>2</v>
      </c>
      <c r="C8" s="14" t="s">
        <v>84</v>
      </c>
      <c r="D8" s="14" t="s">
        <v>84</v>
      </c>
      <c r="E8" s="14" t="s">
        <v>84</v>
      </c>
    </row>
    <row r="9" spans="1:5" x14ac:dyDescent="0.2">
      <c r="A9" s="15">
        <v>8</v>
      </c>
      <c r="B9" s="12" t="s">
        <v>3</v>
      </c>
      <c r="C9" s="16">
        <v>15.58</v>
      </c>
      <c r="D9" s="17">
        <v>27.33</v>
      </c>
      <c r="E9" s="18">
        <v>14.97</v>
      </c>
    </row>
    <row r="10" spans="1:5" x14ac:dyDescent="0.2">
      <c r="A10" s="15">
        <v>9</v>
      </c>
      <c r="B10" s="12" t="s">
        <v>4</v>
      </c>
      <c r="C10" s="14">
        <v>3.42</v>
      </c>
      <c r="D10" s="14">
        <v>2.87</v>
      </c>
      <c r="E10" s="14">
        <v>2.91</v>
      </c>
    </row>
    <row r="11" spans="1:5" x14ac:dyDescent="0.2">
      <c r="A11" s="15">
        <v>10</v>
      </c>
      <c r="B11" s="12" t="s">
        <v>5</v>
      </c>
      <c r="C11" s="14">
        <v>13.33</v>
      </c>
      <c r="D11" s="14">
        <v>14.47</v>
      </c>
      <c r="E11" s="14">
        <v>19.43</v>
      </c>
    </row>
    <row r="12" spans="1:5" x14ac:dyDescent="0.2">
      <c r="A12" s="15">
        <v>11</v>
      </c>
      <c r="B12" s="12" t="s">
        <v>6</v>
      </c>
      <c r="C12" s="14">
        <v>10.71</v>
      </c>
      <c r="D12" s="14">
        <v>10.78</v>
      </c>
      <c r="E12" s="14" t="s">
        <v>84</v>
      </c>
    </row>
    <row r="13" spans="1:5" x14ac:dyDescent="0.2">
      <c r="A13" s="15">
        <v>12</v>
      </c>
      <c r="B13" s="12" t="s">
        <v>11</v>
      </c>
      <c r="C13" s="14">
        <v>19.13</v>
      </c>
      <c r="D13" s="14">
        <v>16.41</v>
      </c>
      <c r="E13" s="14">
        <v>15.1</v>
      </c>
    </row>
    <row r="14" spans="1:5" x14ac:dyDescent="0.2">
      <c r="A14" s="15">
        <v>13</v>
      </c>
      <c r="B14" s="12" t="s">
        <v>9</v>
      </c>
      <c r="C14" s="14">
        <v>14.72</v>
      </c>
      <c r="D14" s="14">
        <v>6.89</v>
      </c>
      <c r="E14" s="14">
        <v>6.23</v>
      </c>
    </row>
    <row r="15" spans="1:5" x14ac:dyDescent="0.2">
      <c r="A15" s="15">
        <v>13</v>
      </c>
      <c r="B15" s="12" t="s">
        <v>10</v>
      </c>
      <c r="C15" s="14">
        <v>13.98</v>
      </c>
      <c r="D15" s="14">
        <v>10.53</v>
      </c>
      <c r="E15" s="14">
        <v>7.5</v>
      </c>
    </row>
    <row r="16" spans="1:5" x14ac:dyDescent="0.2">
      <c r="A16" s="15">
        <v>15</v>
      </c>
      <c r="B16" s="12" t="s">
        <v>12</v>
      </c>
      <c r="C16" s="14">
        <v>40.9</v>
      </c>
      <c r="D16" s="14">
        <v>12.81</v>
      </c>
      <c r="E16" s="14">
        <v>12.28</v>
      </c>
    </row>
    <row r="17" spans="1:5" x14ac:dyDescent="0.2">
      <c r="A17" s="15">
        <v>16</v>
      </c>
      <c r="B17" s="12" t="s">
        <v>13</v>
      </c>
      <c r="C17" s="14">
        <v>24.25</v>
      </c>
      <c r="D17" s="14">
        <v>21.05</v>
      </c>
      <c r="E17" s="14">
        <v>14.11</v>
      </c>
    </row>
    <row r="18" spans="1:5" x14ac:dyDescent="0.2">
      <c r="A18" s="15">
        <v>17</v>
      </c>
      <c r="B18" s="12" t="s">
        <v>14</v>
      </c>
      <c r="C18" s="14" t="s">
        <v>84</v>
      </c>
      <c r="D18" s="14" t="s">
        <v>84</v>
      </c>
      <c r="E18" s="14" t="s">
        <v>84</v>
      </c>
    </row>
    <row r="19" spans="1:5" x14ac:dyDescent="0.2">
      <c r="A19" s="15">
        <v>18</v>
      </c>
      <c r="B19" s="12" t="s">
        <v>7</v>
      </c>
      <c r="C19" s="14">
        <v>17</v>
      </c>
      <c r="D19" s="14">
        <v>12</v>
      </c>
      <c r="E19" s="14">
        <v>11</v>
      </c>
    </row>
    <row r="20" spans="1:5" x14ac:dyDescent="0.2">
      <c r="A20" s="15">
        <v>19</v>
      </c>
      <c r="B20" s="12" t="s">
        <v>8</v>
      </c>
      <c r="C20" s="14">
        <v>28.69</v>
      </c>
      <c r="D20" s="14">
        <v>38.880000000000003</v>
      </c>
      <c r="E20" s="14">
        <v>22.81</v>
      </c>
    </row>
    <row r="21" spans="1:5" x14ac:dyDescent="0.2">
      <c r="A21" s="15">
        <v>20</v>
      </c>
      <c r="B21" s="12" t="s">
        <v>15</v>
      </c>
      <c r="C21" s="14">
        <v>285.14</v>
      </c>
      <c r="D21" s="14">
        <v>333.72</v>
      </c>
      <c r="E21" s="14">
        <v>98.63</v>
      </c>
    </row>
    <row r="22" spans="1:5" x14ac:dyDescent="0.2">
      <c r="A22" s="15">
        <v>21</v>
      </c>
      <c r="B22" s="12" t="s">
        <v>29</v>
      </c>
      <c r="C22" s="14">
        <v>134.11000000000001</v>
      </c>
      <c r="D22" s="14">
        <v>16.37</v>
      </c>
      <c r="E22" s="14">
        <v>14.15</v>
      </c>
    </row>
    <row r="23" spans="1:5" x14ac:dyDescent="0.2">
      <c r="A23" s="15">
        <v>22</v>
      </c>
      <c r="B23" s="12" t="s">
        <v>16</v>
      </c>
      <c r="C23" s="14">
        <v>5.04</v>
      </c>
      <c r="D23" s="14">
        <v>2.99</v>
      </c>
      <c r="E23" s="16">
        <v>4.9000000000000004</v>
      </c>
    </row>
    <row r="24" spans="1:5" x14ac:dyDescent="0.2">
      <c r="A24" s="15">
        <v>23</v>
      </c>
      <c r="B24" s="12" t="s">
        <v>17</v>
      </c>
      <c r="C24" s="14">
        <v>17.59</v>
      </c>
      <c r="D24" s="14">
        <v>13.47</v>
      </c>
      <c r="E24" s="14">
        <v>19.68</v>
      </c>
    </row>
    <row r="25" spans="1:5" x14ac:dyDescent="0.2">
      <c r="A25" s="15">
        <v>24</v>
      </c>
      <c r="B25" s="12" t="s">
        <v>18</v>
      </c>
      <c r="C25" s="14">
        <v>14.66</v>
      </c>
      <c r="D25" s="14">
        <v>23.36</v>
      </c>
      <c r="E25" s="14">
        <v>23.59</v>
      </c>
    </row>
    <row r="26" spans="1:5" x14ac:dyDescent="0.2">
      <c r="A26" s="15">
        <v>25</v>
      </c>
      <c r="B26" s="12" t="s">
        <v>19</v>
      </c>
      <c r="C26" s="14">
        <v>26.71</v>
      </c>
      <c r="D26" s="14">
        <v>32.68</v>
      </c>
      <c r="E26" s="14">
        <v>23.16</v>
      </c>
    </row>
    <row r="27" spans="1:5" x14ac:dyDescent="0.2">
      <c r="A27" s="15">
        <v>26</v>
      </c>
      <c r="B27" s="12" t="s">
        <v>20</v>
      </c>
      <c r="C27" s="14">
        <v>9.75</v>
      </c>
      <c r="D27" s="14">
        <v>12.11</v>
      </c>
      <c r="E27" s="14">
        <v>10.08</v>
      </c>
    </row>
    <row r="28" spans="1:5" x14ac:dyDescent="0.2">
      <c r="A28" s="15">
        <v>27</v>
      </c>
      <c r="B28" s="12" t="s">
        <v>21</v>
      </c>
      <c r="C28" s="14">
        <v>4.7699999999999996</v>
      </c>
      <c r="D28" s="14">
        <v>5.58</v>
      </c>
      <c r="E28" s="14">
        <v>4.76</v>
      </c>
    </row>
    <row r="29" spans="1:5" x14ac:dyDescent="0.2">
      <c r="A29" s="15">
        <v>28</v>
      </c>
      <c r="B29" s="12" t="s">
        <v>22</v>
      </c>
      <c r="C29" s="19" t="s">
        <v>84</v>
      </c>
      <c r="D29" s="19" t="s">
        <v>84</v>
      </c>
      <c r="E29" s="19" t="s">
        <v>84</v>
      </c>
    </row>
    <row r="30" spans="1:5" x14ac:dyDescent="0.2">
      <c r="A30" s="15">
        <v>29</v>
      </c>
      <c r="B30" s="12" t="s">
        <v>23</v>
      </c>
      <c r="C30" s="19">
        <v>19.600000000000001</v>
      </c>
      <c r="D30" s="19">
        <v>12.64</v>
      </c>
      <c r="E30" s="19">
        <v>9.32</v>
      </c>
    </row>
    <row r="31" spans="1:5" x14ac:dyDescent="0.2">
      <c r="A31" s="15">
        <v>30</v>
      </c>
      <c r="B31" s="12" t="s">
        <v>24</v>
      </c>
      <c r="C31" s="14">
        <v>6.52</v>
      </c>
      <c r="D31" s="14">
        <v>4.45</v>
      </c>
      <c r="E31" s="14">
        <v>6.29</v>
      </c>
    </row>
    <row r="32" spans="1:5" x14ac:dyDescent="0.2">
      <c r="A32" s="15">
        <v>31</v>
      </c>
      <c r="B32" s="12" t="s">
        <v>25</v>
      </c>
      <c r="C32" s="14">
        <v>28.61</v>
      </c>
      <c r="D32" s="14">
        <v>10.81</v>
      </c>
      <c r="E32" s="14">
        <v>6.68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A58-134F-8C4A-BC76-4C984E4C5EDE}">
  <dimension ref="A1:K38"/>
  <sheetViews>
    <sheetView tabSelected="1" zoomScale="85" zoomScaleNormal="85" workbookViewId="0">
      <selection activeCell="D3" sqref="D3"/>
    </sheetView>
  </sheetViews>
  <sheetFormatPr baseColWidth="10" defaultColWidth="11.1640625" defaultRowHeight="16" x14ac:dyDescent="0.2"/>
  <cols>
    <col min="1" max="1" width="10.83203125" style="7"/>
    <col min="2" max="2" width="16.33203125" customWidth="1"/>
    <col min="3" max="3" width="8.33203125" style="7" customWidth="1"/>
    <col min="4" max="4" width="34" customWidth="1"/>
    <col min="5" max="5" width="60.5" customWidth="1"/>
    <col min="6" max="8" width="61.83203125" bestFit="1" customWidth="1"/>
    <col min="9" max="9" width="49.6640625" bestFit="1" customWidth="1"/>
    <col min="10" max="10" width="75.1640625" bestFit="1" customWidth="1"/>
    <col min="11" max="11" width="27.83203125" customWidth="1"/>
  </cols>
  <sheetData>
    <row r="1" spans="1:11" s="7" customFormat="1" ht="16.75" customHeight="1" x14ac:dyDescent="0.2">
      <c r="A1" s="38" t="s">
        <v>62</v>
      </c>
      <c r="B1" s="38" t="s">
        <v>65</v>
      </c>
      <c r="C1" s="38" t="s">
        <v>102</v>
      </c>
      <c r="D1" s="38" t="s">
        <v>40</v>
      </c>
      <c r="E1" s="38" t="s">
        <v>60</v>
      </c>
      <c r="F1" s="38" t="s">
        <v>119</v>
      </c>
      <c r="G1" s="38" t="s">
        <v>61</v>
      </c>
      <c r="H1" s="38" t="s">
        <v>66</v>
      </c>
      <c r="I1" s="38" t="s">
        <v>91</v>
      </c>
      <c r="J1" s="38" t="s">
        <v>92</v>
      </c>
      <c r="K1" s="38" t="s">
        <v>98</v>
      </c>
    </row>
    <row r="2" spans="1:11" ht="19" customHeight="1" x14ac:dyDescent="0.2">
      <c r="A2"/>
      <c r="B2" t="s">
        <v>83</v>
      </c>
      <c r="E2" t="s">
        <v>26</v>
      </c>
      <c r="F2" t="s">
        <v>26</v>
      </c>
      <c r="G2" t="s">
        <v>26</v>
      </c>
      <c r="H2" t="s">
        <v>26</v>
      </c>
      <c r="I2" t="s">
        <v>1</v>
      </c>
      <c r="J2" t="s">
        <v>1</v>
      </c>
      <c r="K2" t="s">
        <v>9</v>
      </c>
    </row>
    <row r="3" spans="1:11" s="27" customFormat="1" ht="78" customHeight="1" x14ac:dyDescent="0.2">
      <c r="A3" s="27">
        <v>1</v>
      </c>
      <c r="B3" s="27" t="s">
        <v>63</v>
      </c>
      <c r="C3" s="28"/>
      <c r="D3" s="27" t="s">
        <v>67</v>
      </c>
      <c r="E3" s="27" t="s">
        <v>116</v>
      </c>
      <c r="F3" s="27" t="s">
        <v>121</v>
      </c>
      <c r="G3" s="27" t="s">
        <v>122</v>
      </c>
      <c r="H3" s="27" t="s">
        <v>121</v>
      </c>
      <c r="I3" s="27" t="s">
        <v>128</v>
      </c>
      <c r="J3" s="27" t="s">
        <v>129</v>
      </c>
      <c r="K3" s="27" t="s">
        <v>131</v>
      </c>
    </row>
    <row r="4" spans="1:11" x14ac:dyDescent="0.2">
      <c r="A4">
        <v>2</v>
      </c>
      <c r="B4" t="s">
        <v>40</v>
      </c>
      <c r="D4" t="s">
        <v>34</v>
      </c>
      <c r="E4">
        <v>36</v>
      </c>
      <c r="F4">
        <v>36</v>
      </c>
      <c r="G4">
        <v>1</v>
      </c>
      <c r="H4">
        <v>36</v>
      </c>
      <c r="I4">
        <v>36</v>
      </c>
      <c r="J4">
        <v>36</v>
      </c>
      <c r="K4">
        <v>36</v>
      </c>
    </row>
    <row r="5" spans="1:11" x14ac:dyDescent="0.2">
      <c r="A5">
        <v>3</v>
      </c>
      <c r="B5" t="s">
        <v>40</v>
      </c>
      <c r="D5" t="s">
        <v>35</v>
      </c>
      <c r="F5" t="s">
        <v>124</v>
      </c>
      <c r="G5" t="s">
        <v>125</v>
      </c>
      <c r="H5" t="s">
        <v>124</v>
      </c>
      <c r="I5" t="s">
        <v>126</v>
      </c>
      <c r="J5" t="s">
        <v>125</v>
      </c>
      <c r="K5" t="s">
        <v>125</v>
      </c>
    </row>
    <row r="6" spans="1:11" x14ac:dyDescent="0.2">
      <c r="A6">
        <v>4</v>
      </c>
      <c r="B6" t="s">
        <v>40</v>
      </c>
      <c r="D6" t="s">
        <v>36</v>
      </c>
      <c r="E6" t="s">
        <v>96</v>
      </c>
      <c r="F6" t="s">
        <v>96</v>
      </c>
      <c r="G6" t="s">
        <v>96</v>
      </c>
      <c r="H6" t="s">
        <v>96</v>
      </c>
      <c r="I6" t="s">
        <v>93</v>
      </c>
      <c r="J6" t="s">
        <v>93</v>
      </c>
      <c r="K6" t="s">
        <v>115</v>
      </c>
    </row>
    <row r="7" spans="1:11" x14ac:dyDescent="0.2">
      <c r="A7">
        <v>5</v>
      </c>
      <c r="B7" t="s">
        <v>40</v>
      </c>
      <c r="D7" t="s">
        <v>37</v>
      </c>
      <c r="E7" t="s">
        <v>165</v>
      </c>
      <c r="F7" t="s">
        <v>165</v>
      </c>
      <c r="G7" t="s">
        <v>165</v>
      </c>
      <c r="H7" t="s">
        <v>165</v>
      </c>
      <c r="I7" t="s">
        <v>167</v>
      </c>
      <c r="J7" t="s">
        <v>166</v>
      </c>
      <c r="K7" t="s">
        <v>166</v>
      </c>
    </row>
    <row r="8" spans="1:11" x14ac:dyDescent="0.2">
      <c r="A8">
        <v>6</v>
      </c>
      <c r="B8" t="s">
        <v>68</v>
      </c>
      <c r="C8" s="7">
        <v>7</v>
      </c>
      <c r="D8" t="s">
        <v>36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93</v>
      </c>
      <c r="K8" t="s">
        <v>115</v>
      </c>
    </row>
    <row r="9" spans="1:11" x14ac:dyDescent="0.2">
      <c r="A9">
        <v>7</v>
      </c>
      <c r="B9" t="s">
        <v>68</v>
      </c>
      <c r="C9" s="7">
        <v>5</v>
      </c>
      <c r="D9" t="s">
        <v>35</v>
      </c>
      <c r="F9" t="s">
        <v>124</v>
      </c>
      <c r="G9" t="s">
        <v>125</v>
      </c>
      <c r="H9" t="s">
        <v>124</v>
      </c>
      <c r="I9" t="s">
        <v>126</v>
      </c>
      <c r="J9" t="s">
        <v>125</v>
      </c>
      <c r="K9" t="s">
        <v>125</v>
      </c>
    </row>
    <row r="10" spans="1:11" x14ac:dyDescent="0.2">
      <c r="A10">
        <v>8</v>
      </c>
      <c r="B10" t="s">
        <v>68</v>
      </c>
      <c r="C10" s="7">
        <v>8</v>
      </c>
      <c r="D10" t="s">
        <v>69</v>
      </c>
      <c r="E10" t="s">
        <v>95</v>
      </c>
      <c r="F10" t="s">
        <v>95</v>
      </c>
      <c r="G10" t="s">
        <v>95</v>
      </c>
      <c r="H10" t="s">
        <v>95</v>
      </c>
    </row>
    <row r="11" spans="1:11" x14ac:dyDescent="0.2">
      <c r="A11">
        <v>9</v>
      </c>
      <c r="B11" t="s">
        <v>68</v>
      </c>
      <c r="C11" s="7">
        <v>9</v>
      </c>
      <c r="D11" t="s">
        <v>70</v>
      </c>
      <c r="E11" t="s">
        <v>71</v>
      </c>
      <c r="F11" t="s">
        <v>71</v>
      </c>
      <c r="G11" t="s">
        <v>71</v>
      </c>
      <c r="H11" t="s">
        <v>71</v>
      </c>
      <c r="J11" t="s">
        <v>71</v>
      </c>
      <c r="K11" t="s">
        <v>94</v>
      </c>
    </row>
    <row r="12" spans="1:11" x14ac:dyDescent="0.2">
      <c r="A12">
        <v>10</v>
      </c>
      <c r="B12" t="s">
        <v>68</v>
      </c>
      <c r="C12" s="7">
        <v>6</v>
      </c>
      <c r="D12" t="s">
        <v>72</v>
      </c>
      <c r="G12" t="s">
        <v>120</v>
      </c>
    </row>
    <row r="13" spans="1:11" x14ac:dyDescent="0.2">
      <c r="A13">
        <v>11</v>
      </c>
      <c r="B13" t="s">
        <v>68</v>
      </c>
      <c r="C13" s="7">
        <v>11</v>
      </c>
      <c r="D13" t="s">
        <v>73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</row>
    <row r="14" spans="1:11" x14ac:dyDescent="0.2">
      <c r="A14">
        <v>12</v>
      </c>
      <c r="B14" t="s">
        <v>68</v>
      </c>
      <c r="C14" s="7">
        <v>14</v>
      </c>
      <c r="D14" t="s">
        <v>74</v>
      </c>
    </row>
    <row r="15" spans="1:11" x14ac:dyDescent="0.2">
      <c r="A15">
        <v>13</v>
      </c>
      <c r="B15" t="s">
        <v>68</v>
      </c>
      <c r="C15" s="7">
        <v>12</v>
      </c>
      <c r="D15" t="s">
        <v>75</v>
      </c>
    </row>
    <row r="16" spans="1:11" x14ac:dyDescent="0.2">
      <c r="A16">
        <v>14</v>
      </c>
      <c r="B16" t="s">
        <v>68</v>
      </c>
      <c r="C16" s="7">
        <v>10</v>
      </c>
      <c r="D16" t="s">
        <v>76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</row>
    <row r="17" spans="1:11" x14ac:dyDescent="0.2">
      <c r="A17">
        <v>15</v>
      </c>
      <c r="B17" t="s">
        <v>68</v>
      </c>
      <c r="C17" s="7">
        <v>4</v>
      </c>
      <c r="D17" t="s">
        <v>77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</row>
    <row r="18" spans="1:11" x14ac:dyDescent="0.2">
      <c r="A18">
        <v>16</v>
      </c>
      <c r="B18" t="s">
        <v>68</v>
      </c>
      <c r="C18" s="7">
        <v>13</v>
      </c>
      <c r="D18" t="s">
        <v>78</v>
      </c>
      <c r="F18" t="s">
        <v>118</v>
      </c>
      <c r="G18" t="s">
        <v>118</v>
      </c>
      <c r="H18" t="s">
        <v>118</v>
      </c>
      <c r="K18" t="s">
        <v>118</v>
      </c>
    </row>
    <row r="19" spans="1:11" x14ac:dyDescent="0.2">
      <c r="A19">
        <v>17</v>
      </c>
      <c r="B19" t="s">
        <v>68</v>
      </c>
      <c r="C19" s="7">
        <v>15</v>
      </c>
      <c r="D19" t="s">
        <v>79</v>
      </c>
      <c r="E19" t="s">
        <v>117</v>
      </c>
      <c r="G19" t="s">
        <v>117</v>
      </c>
      <c r="I19" t="s">
        <v>127</v>
      </c>
      <c r="K19" t="s">
        <v>130</v>
      </c>
    </row>
    <row r="20" spans="1:11" x14ac:dyDescent="0.2">
      <c r="A20">
        <v>18</v>
      </c>
      <c r="B20" t="s">
        <v>80</v>
      </c>
      <c r="C20" s="7">
        <v>4</v>
      </c>
      <c r="D20" t="s">
        <v>81</v>
      </c>
    </row>
    <row r="21" spans="1:11" x14ac:dyDescent="0.2">
      <c r="A21">
        <v>19</v>
      </c>
      <c r="B21" t="s">
        <v>80</v>
      </c>
      <c r="C21" s="7">
        <v>13</v>
      </c>
      <c r="D21" t="s">
        <v>82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</row>
    <row r="22" spans="1:11" x14ac:dyDescent="0.2">
      <c r="A22">
        <v>20</v>
      </c>
      <c r="B22" t="s">
        <v>80</v>
      </c>
      <c r="C22" s="7">
        <v>5</v>
      </c>
      <c r="D22" t="s">
        <v>77</v>
      </c>
    </row>
    <row r="23" spans="1:11" x14ac:dyDescent="0.2">
      <c r="A23">
        <v>21</v>
      </c>
      <c r="B23" t="s">
        <v>80</v>
      </c>
      <c r="C23" s="7">
        <v>6</v>
      </c>
      <c r="D23" t="s">
        <v>76</v>
      </c>
    </row>
    <row r="24" spans="1:11" x14ac:dyDescent="0.2">
      <c r="A24">
        <v>22</v>
      </c>
      <c r="B24" t="s">
        <v>80</v>
      </c>
      <c r="C24" s="7">
        <v>9</v>
      </c>
      <c r="D24" t="s">
        <v>86</v>
      </c>
      <c r="E24" t="s">
        <v>87</v>
      </c>
      <c r="I24" t="s">
        <v>87</v>
      </c>
      <c r="J24" t="s">
        <v>87</v>
      </c>
    </row>
    <row r="25" spans="1:11" x14ac:dyDescent="0.2">
      <c r="A25">
        <v>23</v>
      </c>
      <c r="B25" t="s">
        <v>80</v>
      </c>
      <c r="C25" s="7">
        <v>11</v>
      </c>
      <c r="D25" t="s">
        <v>88</v>
      </c>
    </row>
    <row r="26" spans="1:11" x14ac:dyDescent="0.2">
      <c r="A26">
        <v>24</v>
      </c>
      <c r="B26" t="s">
        <v>80</v>
      </c>
      <c r="C26" s="7">
        <v>12</v>
      </c>
      <c r="D26" t="s">
        <v>89</v>
      </c>
    </row>
    <row r="27" spans="1:11" x14ac:dyDescent="0.2">
      <c r="A27">
        <v>25</v>
      </c>
      <c r="B27" t="s">
        <v>80</v>
      </c>
      <c r="C27" s="7">
        <v>10</v>
      </c>
      <c r="D27" t="s">
        <v>90</v>
      </c>
      <c r="E27" t="str">
        <f>IF(ISBLANK(E22),"","Proportionate deduction applicable for room category higher than entitled")</f>
        <v/>
      </c>
      <c r="F27" t="str">
        <f t="shared" ref="F27:J27" si="0">IF(ISBLANK(F22),"","Proportionate deduction applicable for room category higher than entitled")</f>
        <v/>
      </c>
      <c r="G27" t="str">
        <f t="shared" si="0"/>
        <v/>
      </c>
      <c r="H27" t="str">
        <f t="shared" si="0"/>
        <v/>
      </c>
      <c r="I27" t="str">
        <f t="shared" si="0"/>
        <v/>
      </c>
      <c r="J27" t="str">
        <f t="shared" si="0"/>
        <v/>
      </c>
      <c r="K27" t="str">
        <f t="shared" ref="K27" si="1">IF(ISBLANK(K22),"","Proportionate deduction applicable for room category higher than entitled")</f>
        <v/>
      </c>
    </row>
    <row r="28" spans="1:11" x14ac:dyDescent="0.2">
      <c r="A28">
        <v>26</v>
      </c>
      <c r="B28" t="s">
        <v>80</v>
      </c>
      <c r="C28" s="7">
        <v>7</v>
      </c>
      <c r="D28" t="s">
        <v>73</v>
      </c>
    </row>
    <row r="29" spans="1:11" x14ac:dyDescent="0.2">
      <c r="A29">
        <v>27</v>
      </c>
      <c r="B29" t="s">
        <v>68</v>
      </c>
      <c r="C29" s="7">
        <v>1</v>
      </c>
      <c r="D29" t="s">
        <v>99</v>
      </c>
      <c r="E29" t="str">
        <f>IF(VLOOKUP(E2,'Company Database'!$B$2:$G$32,5,FALSE)&gt;=95%,"Top claim settlement ratio","")</f>
        <v>Top claim settlement ratio</v>
      </c>
      <c r="F29" t="str">
        <f>IF(VLOOKUP(F2,'Company Database'!$B$2:$G$32,5,FALSE)&gt;=95%,"Top claim settlement ratio","")</f>
        <v>Top claim settlement ratio</v>
      </c>
      <c r="G29" t="str">
        <f>IF(VLOOKUP(G2,'Company Database'!$B$2:$G$32,5,FALSE)&gt;=95%,"Top claim settlement ratio","")</f>
        <v>Top claim settlement ratio</v>
      </c>
      <c r="H29" t="str">
        <f>IF(VLOOKUP(H2,'Company Database'!$B$2:$G$32,5,FALSE)&gt;=95%,"Top claim settlement ratio","")</f>
        <v>Top claim settlement ratio</v>
      </c>
      <c r="I29" t="str">
        <f>IF(VLOOKUP(I2,'Company Database'!$B$2:$G$32,5,FALSE)&gt;=95%,"Top claim settlement ratio","")</f>
        <v/>
      </c>
      <c r="J29" t="str">
        <f>IF(VLOOKUP(J2,'Company Database'!$B$2:$G$32,5,FALSE)&gt;=95%,"Top claim settlement ratio","")</f>
        <v/>
      </c>
      <c r="K29" t="str">
        <f>IF(VLOOKUP(K2,'Company Database'!$B$2:$G$32,5,FALSE)&gt;=95%,"Top claim settlement ratio","")</f>
        <v>Top claim settlement ratio</v>
      </c>
    </row>
    <row r="30" spans="1:11" x14ac:dyDescent="0.2">
      <c r="A30">
        <v>28</v>
      </c>
      <c r="B30" t="s">
        <v>68</v>
      </c>
      <c r="C30" s="7">
        <v>2</v>
      </c>
      <c r="D30" t="s">
        <v>100</v>
      </c>
      <c r="E30" t="str">
        <f>IF(VLOOKUP(E2,'Company Database'!$B$2:$G$32,6,FALSE)&lt;=15,"Low complaints","")</f>
        <v/>
      </c>
      <c r="F30" t="str">
        <f>IF(VLOOKUP(F2,'Company Database'!$B$2:$G$32,6,FALSE)&lt;=15,"Low complaints","")</f>
        <v/>
      </c>
      <c r="G30" t="str">
        <f>IF(VLOOKUP(G2,'Company Database'!$B$2:$G$32,6,FALSE)&lt;=15,"Low complaints","")</f>
        <v/>
      </c>
      <c r="H30" t="str">
        <f>IF(VLOOKUP(H2,'Company Database'!$B$2:$G$32,6,FALSE)&lt;=15,"Low complaints","")</f>
        <v/>
      </c>
      <c r="I30" t="str">
        <f>IF(VLOOKUP(I2,'Company Database'!$B$2:$G$32,6,FALSE)&lt;=15,"Low complaints","")</f>
        <v/>
      </c>
      <c r="J30" t="str">
        <f>IF(VLOOKUP(J2,'Company Database'!$B$2:$G$32,6,FALSE)&lt;=15,"Low complaints","")</f>
        <v/>
      </c>
      <c r="K30" t="str">
        <f>IF(VLOOKUP(K2,'Company Database'!$B$2:$G$32,6,FALSE)&lt;=15,"Low complaints","")</f>
        <v>Low complaints</v>
      </c>
    </row>
    <row r="31" spans="1:11" x14ac:dyDescent="0.2">
      <c r="A31">
        <v>29</v>
      </c>
      <c r="B31" t="s">
        <v>68</v>
      </c>
      <c r="C31" s="7">
        <v>3</v>
      </c>
      <c r="D31" t="s">
        <v>101</v>
      </c>
      <c r="E31" t="str">
        <f>IF(VLOOKUP(E2,'Company Database'!$B$2:$G$32,4,FALSE)&gt;=10000,"Extensive hospital network","")</f>
        <v>Extensive hospital network</v>
      </c>
      <c r="F31" t="str">
        <f>IF(VLOOKUP(F2,'Company Database'!$B$2:$G$32,4,FALSE)&gt;=10000,"Extensive hospital network","")</f>
        <v>Extensive hospital network</v>
      </c>
      <c r="G31" t="str">
        <f>IF(VLOOKUP(G2,'Company Database'!$B$2:$G$32,4,FALSE)&gt;=10000,"Extensive hospital network","")</f>
        <v>Extensive hospital network</v>
      </c>
      <c r="H31" t="str">
        <f>IF(VLOOKUP(H2,'Company Database'!$B$2:$G$32,4,FALSE)&gt;=10000,"Extensive hospital network","")</f>
        <v>Extensive hospital network</v>
      </c>
      <c r="I31" t="str">
        <f>IF(VLOOKUP(I2,'Company Database'!$B$2:$G$32,4,FALSE)&gt;=10000,"Extensive hospital network","")</f>
        <v>Extensive hospital network</v>
      </c>
      <c r="J31" t="str">
        <f>IF(VLOOKUP(J2,'Company Database'!$B$2:$G$32,4,FALSE)&gt;=10000,"Extensive hospital network","")</f>
        <v>Extensive hospital network</v>
      </c>
      <c r="K31" t="str">
        <f>IF(VLOOKUP(K2,'Company Database'!$B$2:$G$32,4,FALSE)&gt;=10000,"Extensive hospital network","")</f>
        <v>Extensive hospital network</v>
      </c>
    </row>
    <row r="32" spans="1:11" x14ac:dyDescent="0.2">
      <c r="A32">
        <v>30</v>
      </c>
      <c r="B32" t="s">
        <v>80</v>
      </c>
      <c r="C32" s="7">
        <v>1</v>
      </c>
      <c r="D32" t="s">
        <v>99</v>
      </c>
      <c r="E32" t="str">
        <f>IF(VLOOKUP(E2,'Company Database'!$B$2:$G$32,5,FALSE)&lt;90%,"Poor claim settlement ratio","")</f>
        <v/>
      </c>
      <c r="F32" t="str">
        <f>IF(VLOOKUP(F2,'Company Database'!$B$2:$G$32,5,FALSE)&lt;90%,"Poor claim settlement ratio","")</f>
        <v/>
      </c>
      <c r="G32" t="str">
        <f>IF(VLOOKUP(G2,'Company Database'!$B$2:$G$32,5,FALSE)&lt;90%,"Poor claim settlement ratio","")</f>
        <v/>
      </c>
      <c r="H32" t="str">
        <f>IF(VLOOKUP(H2,'Company Database'!$B$2:$G$32,5,FALSE)&lt;90%,"Poor claim settlement ratio","")</f>
        <v/>
      </c>
      <c r="I32" t="str">
        <f>IF(VLOOKUP(I2,'Company Database'!$B$2:$G$32,5,FALSE)&lt;90%,"Poor claim settlement ratio","")</f>
        <v/>
      </c>
      <c r="J32" t="str">
        <f>IF(VLOOKUP(J2,'Company Database'!$B$2:$G$32,5,FALSE)&lt;90%,"Poor claim settlement ratio","")</f>
        <v/>
      </c>
      <c r="K32" t="str">
        <f>IF(VLOOKUP(K2,'Company Database'!$B$2:$G$32,5,FALSE)&lt;90%,"Poor claim settlement ratio","")</f>
        <v/>
      </c>
    </row>
    <row r="33" spans="1:11" x14ac:dyDescent="0.2">
      <c r="A33">
        <v>31</v>
      </c>
      <c r="B33" t="s">
        <v>80</v>
      </c>
      <c r="C33" s="7">
        <v>2</v>
      </c>
      <c r="D33" t="s">
        <v>100</v>
      </c>
      <c r="E33" t="str">
        <f>IF(VLOOKUP(E2,'Company Database'!$B$2:$G$32,6,FALSE)&gt;35,"High complaints","")</f>
        <v/>
      </c>
      <c r="F33" t="str">
        <f>IF(VLOOKUP(F2,'Company Database'!$B$2:$G$32,6,FALSE)&gt;35,"High complaints","")</f>
        <v/>
      </c>
      <c r="G33" t="str">
        <f>IF(VLOOKUP(G2,'Company Database'!$B$2:$G$32,6,FALSE)&gt;35,"High complaints","")</f>
        <v/>
      </c>
      <c r="H33" t="str">
        <f>IF(VLOOKUP(H2,'Company Database'!$B$2:$G$32,6,FALSE)&gt;35,"High complaints","")</f>
        <v/>
      </c>
      <c r="I33" t="str">
        <f>IF(VLOOKUP(I2,'Company Database'!$B$2:$G$32,6,FALSE)&gt;35,"High complaints","")</f>
        <v>High complaints</v>
      </c>
      <c r="J33" t="str">
        <f>IF(VLOOKUP(J2,'Company Database'!$B$2:$G$32,6,FALSE)&gt;35,"High complaints","")</f>
        <v>High complaints</v>
      </c>
      <c r="K33" t="str">
        <f>IF(VLOOKUP(K2,'Company Database'!$B$2:$G$32,6,FALSE)&gt;35,"High complaints","")</f>
        <v/>
      </c>
    </row>
    <row r="34" spans="1:11" x14ac:dyDescent="0.2">
      <c r="A34">
        <v>32</v>
      </c>
      <c r="B34" t="s">
        <v>80</v>
      </c>
      <c r="C34" s="7">
        <v>3</v>
      </c>
      <c r="D34" t="s">
        <v>101</v>
      </c>
      <c r="E34" t="str">
        <f>IF(VLOOKUP(E2,'Company Database'!$B$2:$G$32,4,FALSE)&lt;6000,"Limited hospital network","")</f>
        <v/>
      </c>
      <c r="F34" t="str">
        <f>IF(VLOOKUP(F2,'Company Database'!$B$2:$G$32,4,FALSE)&lt;6000,"Limited hospital network","")</f>
        <v/>
      </c>
      <c r="G34" t="str">
        <f>IF(VLOOKUP(G2,'Company Database'!$B$2:$G$32,4,FALSE)&lt;6000,"Limited hospital network","")</f>
        <v/>
      </c>
      <c r="H34" t="str">
        <f>IF(VLOOKUP(H2,'Company Database'!$B$2:$G$32,4,FALSE)&lt;6000,"Limited hospital network","")</f>
        <v/>
      </c>
      <c r="I34" t="str">
        <f>IF(VLOOKUP(I2,'Company Database'!$B$2:$G$32,4,FALSE)&lt;6000,"Limited hospital network","")</f>
        <v/>
      </c>
      <c r="J34" t="str">
        <f>IF(VLOOKUP(J2,'Company Database'!$B$2:$G$32,4,FALSE)&lt;6000,"Limited hospital network","")</f>
        <v/>
      </c>
      <c r="K34" t="str">
        <f>IF(VLOOKUP(K2,'Company Database'!$B$2:$G$32,4,FALSE)&lt;6000,"Limited hospital network","")</f>
        <v/>
      </c>
    </row>
    <row r="35" spans="1:11" x14ac:dyDescent="0.2">
      <c r="A35">
        <v>33</v>
      </c>
      <c r="B35" t="s">
        <v>80</v>
      </c>
      <c r="C35" s="7">
        <v>8</v>
      </c>
      <c r="D35" t="s">
        <v>72</v>
      </c>
      <c r="E35" t="str">
        <f>IF(E4&gt;=36,"Pre-existing disease waiting period of 3 years","")</f>
        <v>Pre-existing disease waiting period of 3 years</v>
      </c>
      <c r="F35" t="str">
        <f t="shared" ref="F35:J35" si="2">IF(F4&gt;=36,"Pre-existing disease waiting period of 3 years","")</f>
        <v>Pre-existing disease waiting period of 3 years</v>
      </c>
      <c r="G35" t="str">
        <f t="shared" si="2"/>
        <v/>
      </c>
      <c r="H35" t="str">
        <f t="shared" si="2"/>
        <v>Pre-existing disease waiting period of 3 years</v>
      </c>
      <c r="I35" t="str">
        <f t="shared" si="2"/>
        <v>Pre-existing disease waiting period of 3 years</v>
      </c>
      <c r="J35" t="str">
        <f t="shared" si="2"/>
        <v>Pre-existing disease waiting period of 3 years</v>
      </c>
      <c r="K35" t="str">
        <f t="shared" ref="K35" si="3">IF(K4&gt;=36,"Pre-existing disease waiting period of 3 years","")</f>
        <v>Pre-existing disease waiting period of 3 years</v>
      </c>
    </row>
    <row r="36" spans="1:11" x14ac:dyDescent="0.2">
      <c r="A36">
        <v>34</v>
      </c>
      <c r="B36" t="s">
        <v>80</v>
      </c>
      <c r="C36" s="7">
        <v>14</v>
      </c>
      <c r="D36" t="s">
        <v>69</v>
      </c>
    </row>
    <row r="37" spans="1:11" x14ac:dyDescent="0.2">
      <c r="A37">
        <v>35</v>
      </c>
      <c r="B37" t="s">
        <v>80</v>
      </c>
      <c r="C37" s="7">
        <v>15</v>
      </c>
      <c r="D37" t="s">
        <v>70</v>
      </c>
    </row>
    <row r="38" spans="1:11" x14ac:dyDescent="0.2">
      <c r="A38">
        <v>36</v>
      </c>
      <c r="B38" t="s">
        <v>80</v>
      </c>
      <c r="C38" s="7">
        <v>16</v>
      </c>
      <c r="D38" t="s">
        <v>78</v>
      </c>
      <c r="E38" t="s">
        <v>123</v>
      </c>
      <c r="I38" t="s">
        <v>123</v>
      </c>
      <c r="J3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Database</vt:lpstr>
      <vt:lpstr>Claim data numbers</vt:lpstr>
      <vt:lpstr>Claim data lacs</vt:lpstr>
      <vt:lpstr>Complaints data</vt:lpstr>
      <vt:lpstr>Base Policy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2025-09-09T10:02:24Z</dcterms:created>
  <dcterms:modified xsi:type="dcterms:W3CDTF">2026-01-29T08:44:56Z</dcterms:modified>
</cp:coreProperties>
</file>